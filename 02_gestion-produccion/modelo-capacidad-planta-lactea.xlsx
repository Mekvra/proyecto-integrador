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Utilización" sheetId="3" state="visible" r:id="rId3"/>
    <sheet name="Lote por referencia" sheetId="4" state="visible" r:id="rId4"/>
    <sheet name="Demanda" sheetId="5" state="visible" r:id="rId5"/>
    <sheet name="Pérdidas U311" sheetId="6" state="visible" r:id="rId6"/>
    <sheet name="VSM" sheetId="7" state="visible" r:id="rId7"/>
    <sheet name="Tecnomatix" sheetId="8" state="visible" r:id="rId8"/>
    <sheet name="Económico" sheetId="9" state="visible" r:id="rId9"/>
    <sheet name="Cronogram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B2A78"/>
      <sz val="13"/>
    </font>
    <font>
      <color rgb="00000000"/>
      <sz val="11"/>
    </font>
    <font>
      <b val="1"/>
      <color rgb="00FFFFFF"/>
    </font>
    <font>
      <b val="1"/>
      <color rgb="001B2A78"/>
    </font>
    <font>
      <b val="1"/>
    </font>
  </fonts>
  <fills count="4">
    <fill>
      <patternFill/>
    </fill>
    <fill>
      <patternFill patternType="gray125"/>
    </fill>
    <fill>
      <patternFill patternType="solid">
        <fgColor rgb="001B2A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9D1EA"/>
      </left>
      <right style="thin">
        <color rgb="00C9D1EA"/>
      </right>
      <top style="thin">
        <color rgb="00C9D1EA"/>
      </top>
      <bottom style="thin">
        <color rgb="00C9D1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2" fontId="0" fillId="0" borderId="1" pivotButton="0" quotePrefix="0" xfId="0"/>
    <xf numFmtId="9" fontId="0" fillId="0" borderId="1" pivotButton="0" quotePrefix="0" xfId="0"/>
    <xf numFmtId="9" fontId="0" fillId="3" borderId="1" pivotButton="0" quotePrefix="0" xfId="0"/>
    <xf numFmtId="0" fontId="5" fillId="0" borderId="0" pivotButton="0" quotePrefix="0" xfId="0"/>
    <xf numFmtId="9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Modelo de capacidad de la planta láctea · Mekvra – Grupo 6 · APM 2026-2S</t>
        </is>
      </c>
    </row>
    <row r="2">
      <c r="A2" s="2" t="inlineStr">
        <is>
          <t>Generado el 2026-10-04 a partir del modelo ISA-88 del equipo y de la tabla «TIEMPOS ANTES PROPUESTA».</t>
        </is>
      </c>
    </row>
    <row r="3">
      <c r="A3" s="2" t="inlineStr"/>
    </row>
    <row r="4">
      <c r="A4" s="2" t="inlineStr">
        <is>
          <t>Todos los valores son de diseño para simulación: deben validarse en Tecnomatix Plant Simulation antes de presentarse como resultados.</t>
        </is>
      </c>
    </row>
    <row r="5">
      <c r="A5" s="2" t="inlineStr">
        <is>
          <t>Escenario base = tiempos antes de la propuesta (fermentación a tiempo fijo, kéfir con gránulos y maduración en tanque, liberación manual).</t>
        </is>
      </c>
    </row>
    <row r="6">
      <c r="A6" s="2" t="inlineStr">
        <is>
          <t>Escenario propuesto = fin de fase por pH, MES, SMED, relevos, TPM, segundo pulmón U215 y 4º fermentador de kéfir U235.</t>
        </is>
      </c>
    </row>
    <row r="7">
      <c r="A7" s="2" t="inlineStr"/>
    </row>
    <row r="8">
      <c r="A8" s="2" t="inlineStr">
        <is>
          <t>Hojas: Supuestos · Utilización · Lote por referencia · Demanda · Pérdidas U311 · VSM · Tecnomatix · Económico · Cronograma.</t>
        </is>
      </c>
    </row>
    <row r="9">
      <c r="A9" s="2" t="inlineStr">
        <is>
          <t>Celdas azules = datos de entrada que el equipo debe completar o validar.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24" customWidth="1" min="4" max="4"/>
    <col width="14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Supuestos de operación</t>
        </is>
      </c>
    </row>
    <row r="3">
      <c r="A3" s="3" t="inlineStr">
        <is>
          <t>Parámetro</t>
        </is>
      </c>
      <c r="B3" s="3" t="inlineStr">
        <is>
          <t>Base</t>
        </is>
      </c>
      <c r="C3" s="3" t="inlineStr">
        <is>
          <t>Propuesta</t>
        </is>
      </c>
    </row>
    <row r="4">
      <c r="A4" s="4" t="inlineStr">
        <is>
          <t>Rendimiento de envasadoras</t>
        </is>
      </c>
      <c r="B4" s="5" t="n">
        <v>0.85</v>
      </c>
      <c r="C4" s="5" t="n">
        <v>0.92</v>
      </c>
    </row>
    <row r="5">
      <c r="A5" s="4" t="inlineStr">
        <is>
          <t>Rechazo en envasado</t>
        </is>
      </c>
      <c r="B5" s="5" t="n">
        <v>0.015</v>
      </c>
      <c r="C5" s="5" t="n">
        <v>0.008</v>
      </c>
    </row>
    <row r="6">
      <c r="A6" s="4" t="inlineStr">
        <is>
          <t>Descansos sin relevo (h/día por envasadora)</t>
        </is>
      </c>
      <c r="B6" s="5" t="n">
        <v>1.5</v>
      </c>
      <c r="C6" s="5" t="n">
        <v>0</v>
      </c>
    </row>
    <row r="7">
      <c r="A7" s="4" t="inlineStr">
        <is>
          <t>Cambios de turno (h/día)</t>
        </is>
      </c>
      <c r="B7" s="5" t="n">
        <v>0.5</v>
      </c>
      <c r="C7" s="5" t="n">
        <v>0.25</v>
      </c>
    </row>
    <row r="8">
      <c r="A8" s="4" t="inlineStr">
        <is>
          <t>CIP de envasadora (h/día)</t>
        </is>
      </c>
      <c r="B8" s="5" t="n">
        <v>1.5</v>
      </c>
      <c r="C8" s="5" t="n">
        <v>1</v>
      </c>
    </row>
    <row r="9">
      <c r="A9" s="4" t="inlineStr">
        <is>
          <t>Cambio de formato (h)</t>
        </is>
      </c>
      <c r="B9" s="5" t="n">
        <v>0.75</v>
      </c>
      <c r="C9" s="5" t="n">
        <v>0.3333333333333333</v>
      </c>
    </row>
    <row r="10">
      <c r="A10" s="4" t="inlineStr">
        <is>
          <t>MTBF envasadoras (h)</t>
        </is>
      </c>
      <c r="B10" s="5" t="n">
        <v>40</v>
      </c>
      <c r="C10" s="5" t="n">
        <v>60</v>
      </c>
    </row>
    <row r="11">
      <c r="A11" s="4" t="inlineStr">
        <is>
          <t>MTTR envasadoras (h)</t>
        </is>
      </c>
      <c r="B11" s="5" t="n">
        <v>1</v>
      </c>
      <c r="C11" s="5" t="n">
        <v>0.75</v>
      </c>
    </row>
    <row r="12">
      <c r="A12" s="4" t="inlineStr">
        <is>
          <t>Incubación de yogur (h)</t>
        </is>
      </c>
      <c r="B12" s="5" t="n">
        <v>7</v>
      </c>
      <c r="C12" s="5" t="n">
        <v>5</v>
      </c>
    </row>
    <row r="13">
      <c r="A13" s="4" t="inlineStr">
        <is>
          <t>Romper coágulo, enfriar y transferir (h)</t>
        </is>
      </c>
      <c r="B13" s="5" t="n">
        <v>1.5</v>
      </c>
      <c r="C13" s="5" t="n">
        <v>1.25</v>
      </c>
    </row>
    <row r="14">
      <c r="A14" s="4" t="inlineStr">
        <is>
          <t>CIP de fermentador de yogur (h)</t>
        </is>
      </c>
      <c r="B14" s="5" t="n">
        <v>1</v>
      </c>
      <c r="C14" s="5" t="n">
        <v>0.75</v>
      </c>
    </row>
    <row r="15">
      <c r="A15" s="4" t="inlineStr">
        <is>
          <t>Espera de liberación de calidad (h)</t>
        </is>
      </c>
      <c r="B15" s="5" t="n">
        <v>0.5</v>
      </c>
      <c r="C15" s="5" t="n">
        <v>0</v>
      </c>
    </row>
    <row r="16">
      <c r="A16" s="4" t="inlineStr">
        <is>
          <t>Tanques pulmón de yogur</t>
        </is>
      </c>
      <c r="B16" s="6" t="n">
        <v>1</v>
      </c>
      <c r="C16" s="6" t="n">
        <v>2</v>
      </c>
    </row>
    <row r="17">
      <c r="A17" s="4" t="inlineStr">
        <is>
          <t>Cambios yogur↔kéfir en U202 por día</t>
        </is>
      </c>
      <c r="B17" s="6" t="n">
        <v>4</v>
      </c>
      <c r="C17" s="6" t="n">
        <v>1</v>
      </c>
    </row>
    <row r="18">
      <c r="A18" s="4" t="inlineStr">
        <is>
          <t>Tiempo extra por corte manual (h)</t>
        </is>
      </c>
      <c r="B18" s="5" t="n">
        <v>0.25</v>
      </c>
      <c r="C18" s="5" t="n">
        <v>0</v>
      </c>
    </row>
    <row r="19">
      <c r="A19" s="4" t="inlineStr">
        <is>
          <t>Acidificación de cuajada (h)</t>
        </is>
      </c>
      <c r="B19" s="5" t="n">
        <v>3</v>
      </c>
      <c r="C19" s="5" t="n">
        <v>2.5</v>
      </c>
    </row>
    <row r="20">
      <c r="A20" s="4" t="inlineStr">
        <is>
          <t>Fermentación de kéfir (h)</t>
        </is>
      </c>
      <c r="B20" s="5" t="n">
        <v>24</v>
      </c>
      <c r="C20" s="5" t="n">
        <v>20</v>
      </c>
    </row>
    <row r="21">
      <c r="A21" s="4" t="inlineStr">
        <is>
          <t>Vaciado/tamizado de kéfir (h)</t>
        </is>
      </c>
      <c r="B21" s="5" t="n">
        <v>0.75</v>
      </c>
      <c r="C21" s="5" t="n">
        <v>0.5</v>
      </c>
    </row>
    <row r="22">
      <c r="A22" s="4" t="inlineStr">
        <is>
          <t>Fermentadores de kéfir</t>
        </is>
      </c>
      <c r="B22" s="6" t="n">
        <v>3</v>
      </c>
      <c r="C22" s="6" t="n">
        <v>4</v>
      </c>
    </row>
    <row r="23">
      <c r="A23" s="4" t="inlineStr">
        <is>
          <t>Maduración de kéfir (h)</t>
        </is>
      </c>
      <c r="B23" s="5" t="n">
        <v>24</v>
      </c>
      <c r="C23" s="5" t="n">
        <v>12</v>
      </c>
    </row>
    <row r="24">
      <c r="A24" s="4" t="inlineStr">
        <is>
          <t>Tanques de maduración/pulmón de kéfir</t>
        </is>
      </c>
      <c r="B24" s="6" t="n">
        <v>3</v>
      </c>
      <c r="C24" s="6" t="n">
        <v>2</v>
      </c>
    </row>
    <row r="25">
      <c r="A25" s="4" t="inlineStr">
        <is>
          <t>Permanencia en tanque de crudo (h)</t>
        </is>
      </c>
      <c r="B25" s="5" t="n">
        <v>6</v>
      </c>
      <c r="C25" s="5" t="n">
        <v>4</v>
      </c>
    </row>
    <row r="26">
      <c r="A26" s="4" t="inlineStr">
        <is>
          <t>Permanencia en silo (h)</t>
        </is>
      </c>
      <c r="B26" s="5" t="n">
        <v>12</v>
      </c>
      <c r="C26" s="5" t="n">
        <v>4</v>
      </c>
    </row>
    <row r="27">
      <c r="A27" s="4" t="inlineStr">
        <is>
          <t>Inventario de producto terminado (h)</t>
        </is>
      </c>
      <c r="B27" s="5" t="n">
        <v>24</v>
      </c>
      <c r="C27" s="5" t="n">
        <v>24</v>
      </c>
    </row>
    <row r="28">
      <c r="A28" s="4" t="inlineStr">
        <is>
          <t>Días de producción por semana</t>
        </is>
      </c>
      <c r="B28" s="6" t="n">
        <v>6</v>
      </c>
      <c r="C28" s="6" t="n">
        <v>6</v>
      </c>
    </row>
    <row r="29">
      <c r="A29" s="4" t="inlineStr">
        <is>
          <t>Horas por día</t>
        </is>
      </c>
      <c r="B29" s="5" t="n">
        <v>24</v>
      </c>
      <c r="C29" s="5" t="n">
        <v>24</v>
      </c>
    </row>
    <row r="32">
      <c r="A32" s="7" t="inlineStr">
        <is>
          <t>Referencias</t>
        </is>
      </c>
    </row>
    <row r="33">
      <c r="A33" s="8" t="inlineStr">
        <is>
          <t>Referencia</t>
        </is>
      </c>
      <c r="B33" s="8" t="inlineStr">
        <is>
          <t>Línea</t>
        </is>
      </c>
      <c r="C33" s="8" t="inlineStr">
        <is>
          <t>Envase (g)</t>
        </is>
      </c>
      <c r="D33" s="8" t="inlineStr">
        <is>
          <t>Velocidad nominal (und/h)</t>
        </is>
      </c>
      <c r="E33" s="8" t="inlineStr">
        <is>
          <t>Envasadora</t>
        </is>
      </c>
      <c r="F33" s="8" t="inlineStr">
        <is>
          <t>Unidades por caja</t>
        </is>
      </c>
      <c r="G33" s="8" t="inlineStr">
        <is>
          <t>Mezcla de la línea</t>
        </is>
      </c>
      <c r="H33" s="8" t="inlineStr">
        <is>
          <t>kg/día</t>
        </is>
      </c>
    </row>
    <row r="34">
      <c r="A34" t="inlineStr">
        <is>
          <t>YF150</t>
        </is>
      </c>
      <c r="B34" t="inlineStr">
        <is>
          <t>Yogur</t>
        </is>
      </c>
      <c r="C34" t="n">
        <v>150</v>
      </c>
      <c r="D34" s="9" t="n">
        <v>12000</v>
      </c>
      <c r="E34" t="inlineStr">
        <is>
          <t>U311</t>
        </is>
      </c>
      <c r="F34" t="n">
        <v>24</v>
      </c>
      <c r="G34" s="9" t="n">
        <v>0.45</v>
      </c>
      <c r="H34" t="n">
        <v>27000</v>
      </c>
    </row>
    <row r="35">
      <c r="A35" t="inlineStr">
        <is>
          <t>YF1000</t>
        </is>
      </c>
      <c r="B35" t="inlineStr">
        <is>
          <t>Yogur</t>
        </is>
      </c>
      <c r="C35" t="n">
        <v>1000</v>
      </c>
      <c r="D35" s="9" t="n">
        <v>4000</v>
      </c>
      <c r="E35" t="inlineStr">
        <is>
          <t>U312</t>
        </is>
      </c>
      <c r="F35" t="n">
        <v>12</v>
      </c>
      <c r="G35" s="9" t="n">
        <v>0.35</v>
      </c>
      <c r="H35" t="n">
        <v>21000</v>
      </c>
    </row>
    <row r="36">
      <c r="A36" t="inlineStr">
        <is>
          <t>YF1750</t>
        </is>
      </c>
      <c r="B36" t="inlineStr">
        <is>
          <t>Yogur</t>
        </is>
      </c>
      <c r="C36" t="n">
        <v>1750</v>
      </c>
      <c r="D36" s="9" t="n">
        <v>2500</v>
      </c>
      <c r="E36" t="inlineStr">
        <is>
          <t>U312</t>
        </is>
      </c>
      <c r="F36" t="n">
        <v>6</v>
      </c>
      <c r="G36" s="9" t="n">
        <v>0.2</v>
      </c>
      <c r="H36" t="n">
        <v>12000</v>
      </c>
    </row>
    <row r="37">
      <c r="A37" t="inlineStr">
        <is>
          <t>QM250</t>
        </is>
      </c>
      <c r="B37" t="inlineStr">
        <is>
          <t>Mozzarella</t>
        </is>
      </c>
      <c r="C37" t="n">
        <v>250</v>
      </c>
      <c r="D37" s="9" t="n">
        <v>1200</v>
      </c>
      <c r="E37" t="inlineStr">
        <is>
          <t>U322</t>
        </is>
      </c>
      <c r="F37" t="n">
        <v>20</v>
      </c>
      <c r="G37" s="9" t="n">
        <v>0.2</v>
      </c>
      <c r="H37" t="n">
        <v>500</v>
      </c>
    </row>
    <row r="38">
      <c r="A38" t="inlineStr">
        <is>
          <t>QM400</t>
        </is>
      </c>
      <c r="B38" t="inlineStr">
        <is>
          <t>Mozzarella</t>
        </is>
      </c>
      <c r="C38" t="n">
        <v>400</v>
      </c>
      <c r="D38" s="9" t="n">
        <v>900</v>
      </c>
      <c r="E38" t="inlineStr">
        <is>
          <t>U321</t>
        </is>
      </c>
      <c r="F38" t="n">
        <v>12</v>
      </c>
      <c r="G38" s="9" t="n">
        <v>0.4</v>
      </c>
      <c r="H38" t="n">
        <v>1000</v>
      </c>
    </row>
    <row r="39">
      <c r="A39" t="inlineStr">
        <is>
          <t>QM1000</t>
        </is>
      </c>
      <c r="B39" t="inlineStr">
        <is>
          <t>Mozzarella</t>
        </is>
      </c>
      <c r="C39" t="n">
        <v>1000</v>
      </c>
      <c r="D39" s="9" t="n">
        <v>450</v>
      </c>
      <c r="E39" t="inlineStr">
        <is>
          <t>U321</t>
        </is>
      </c>
      <c r="F39" t="n">
        <v>8</v>
      </c>
      <c r="G39" s="9" t="n">
        <v>0.4</v>
      </c>
      <c r="H39" t="n">
        <v>1000</v>
      </c>
    </row>
    <row r="40">
      <c r="A40" t="inlineStr">
        <is>
          <t>KF240</t>
        </is>
      </c>
      <c r="B40" t="inlineStr">
        <is>
          <t>Kéfir</t>
        </is>
      </c>
      <c r="C40" t="n">
        <v>240</v>
      </c>
      <c r="D40" s="9" t="n">
        <v>6000</v>
      </c>
      <c r="E40" t="inlineStr">
        <is>
          <t>U331</t>
        </is>
      </c>
      <c r="F40" t="n">
        <v>24</v>
      </c>
      <c r="G40" s="9" t="n">
        <v>0.4</v>
      </c>
      <c r="H40" t="n">
        <v>6000</v>
      </c>
    </row>
    <row r="41">
      <c r="A41" t="inlineStr">
        <is>
          <t>KF500</t>
        </is>
      </c>
      <c r="B41" t="inlineStr">
        <is>
          <t>Kéfir</t>
        </is>
      </c>
      <c r="C41" t="n">
        <v>500</v>
      </c>
      <c r="D41" s="9" t="n">
        <v>4500</v>
      </c>
      <c r="E41" t="inlineStr">
        <is>
          <t>U331</t>
        </is>
      </c>
      <c r="F41" t="n">
        <v>12</v>
      </c>
      <c r="G41" s="9" t="n">
        <v>0.35</v>
      </c>
      <c r="H41" t="n">
        <v>5250</v>
      </c>
    </row>
    <row r="42">
      <c r="A42" t="inlineStr">
        <is>
          <t>KF1000</t>
        </is>
      </c>
      <c r="B42" t="inlineStr">
        <is>
          <t>Kéfir</t>
        </is>
      </c>
      <c r="C42" t="n">
        <v>1000</v>
      </c>
      <c r="D42" s="9" t="n">
        <v>3000</v>
      </c>
      <c r="E42" t="inlineStr">
        <is>
          <t>U331</t>
        </is>
      </c>
      <c r="F42" t="n">
        <v>12</v>
      </c>
      <c r="G42" s="9" t="n">
        <v>0.25</v>
      </c>
      <c r="H42" t="n">
        <v>3750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4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  <col width="16" customWidth="1" min="10" max="10"/>
  </cols>
  <sheetData>
    <row r="1">
      <c r="A1" s="1" t="inlineStr">
        <is>
          <t>Utilización = horas ocupadas por día / (24 h × unidades)</t>
        </is>
      </c>
    </row>
    <row r="3">
      <c r="A3" s="3" t="inlineStr">
        <is>
          <t>Línea</t>
        </is>
      </c>
      <c r="B3" s="3" t="inlineStr">
        <is>
          <t>Unidad (base)</t>
        </is>
      </c>
      <c r="C3" s="3" t="inlineStr">
        <is>
          <t>Recurso</t>
        </is>
      </c>
      <c r="D3" s="3" t="inlineStr">
        <is>
          <t>Horas/día base</t>
        </is>
      </c>
      <c r="E3" s="3" t="inlineStr">
        <is>
          <t>Unidades base</t>
        </is>
      </c>
      <c r="F3" s="3" t="inlineStr">
        <is>
          <t>Utilización base</t>
        </is>
      </c>
      <c r="G3" s="3" t="inlineStr">
        <is>
          <t>Unidad (propuesta)</t>
        </is>
      </c>
      <c r="H3" s="3" t="inlineStr">
        <is>
          <t>Horas/día propuesta</t>
        </is>
      </c>
      <c r="I3" s="3" t="inlineStr">
        <is>
          <t>Unidades propuesta</t>
        </is>
      </c>
      <c r="J3" s="3" t="inlineStr">
        <is>
          <t>Utilización propuesta</t>
        </is>
      </c>
    </row>
    <row r="4">
      <c r="A4" s="4" t="inlineStr">
        <is>
          <t>Tronco</t>
        </is>
      </c>
      <c r="B4" s="4" t="inlineStr">
        <is>
          <t>U111/U112</t>
        </is>
      </c>
      <c r="C4" s="4" t="inlineStr">
        <is>
          <t>Bahías de recepción</t>
        </is>
      </c>
      <c r="D4" s="10" t="n">
        <v>5.28</v>
      </c>
      <c r="E4" s="4" t="n">
        <v>2</v>
      </c>
      <c r="F4" s="11" t="n">
        <v>0.11</v>
      </c>
      <c r="G4" s="4" t="inlineStr">
        <is>
          <t>U111/U112</t>
        </is>
      </c>
      <c r="H4" s="10" t="n">
        <v>5.28</v>
      </c>
      <c r="I4" s="4" t="n">
        <v>2</v>
      </c>
      <c r="J4" s="11" t="n">
        <v>0.11</v>
      </c>
    </row>
    <row r="5">
      <c r="A5" s="4" t="inlineStr">
        <is>
          <t>Tronco</t>
        </is>
      </c>
      <c r="B5" s="4" t="inlineStr">
        <is>
          <t>U121</t>
        </is>
      </c>
      <c r="C5" s="4" t="inlineStr">
        <is>
          <t>Clarificadora-estandarizadora</t>
        </is>
      </c>
      <c r="D5" s="10" t="n">
        <v>6.25</v>
      </c>
      <c r="E5" s="4" t="n">
        <v>1</v>
      </c>
      <c r="F5" s="11" t="n">
        <v>0.26</v>
      </c>
      <c r="G5" s="4" t="inlineStr">
        <is>
          <t>U121</t>
        </is>
      </c>
      <c r="H5" s="10" t="n">
        <v>6.25</v>
      </c>
      <c r="I5" s="4" t="n">
        <v>1</v>
      </c>
      <c r="J5" s="11" t="n">
        <v>0.26</v>
      </c>
    </row>
    <row r="6">
      <c r="A6" s="4" t="inlineStr">
        <is>
          <t>Tronco</t>
        </is>
      </c>
      <c r="B6" s="4" t="inlineStr">
        <is>
          <t>U122</t>
        </is>
      </c>
      <c r="C6" s="4" t="inlineStr">
        <is>
          <t>Pasteurizador HTST</t>
        </is>
      </c>
      <c r="D6" s="10" t="n">
        <v>6.75</v>
      </c>
      <c r="E6" s="4" t="n">
        <v>1</v>
      </c>
      <c r="F6" s="11" t="n">
        <v>0.281</v>
      </c>
      <c r="G6" s="4" t="inlineStr">
        <is>
          <t>U122</t>
        </is>
      </c>
      <c r="H6" s="10" t="n">
        <v>6.75</v>
      </c>
      <c r="I6" s="4" t="n">
        <v>1</v>
      </c>
      <c r="J6" s="11" t="n">
        <v>0.281</v>
      </c>
    </row>
    <row r="7">
      <c r="A7" s="4" t="inlineStr">
        <is>
          <t>Yogur</t>
        </is>
      </c>
      <c r="B7" s="4" t="inlineStr">
        <is>
          <t>U201</t>
        </is>
      </c>
      <c r="C7" s="4" t="inlineStr">
        <is>
          <t>Tanque de formulación</t>
        </is>
      </c>
      <c r="D7" s="10" t="n">
        <v>15.6</v>
      </c>
      <c r="E7" s="4" t="n">
        <v>1</v>
      </c>
      <c r="F7" s="11" t="n">
        <v>0.65</v>
      </c>
      <c r="G7" s="4" t="inlineStr">
        <is>
          <t>U201</t>
        </is>
      </c>
      <c r="H7" s="10" t="n">
        <v>15.6</v>
      </c>
      <c r="I7" s="4" t="n">
        <v>1</v>
      </c>
      <c r="J7" s="11" t="n">
        <v>0.65</v>
      </c>
    </row>
    <row r="8">
      <c r="A8" s="4" t="inlineStr">
        <is>
          <t>Compartido</t>
        </is>
      </c>
      <c r="B8" s="4" t="inlineStr">
        <is>
          <t>U202</t>
        </is>
      </c>
      <c r="C8" s="4" t="inlineStr">
        <is>
          <t>Homogenizador + pasteurizador de base</t>
        </is>
      </c>
      <c r="D8" s="10" t="n">
        <v>14.25</v>
      </c>
      <c r="E8" s="4" t="n">
        <v>1</v>
      </c>
      <c r="F8" s="11" t="n">
        <v>0.594</v>
      </c>
      <c r="G8" s="4" t="inlineStr">
        <is>
          <t>U202</t>
        </is>
      </c>
      <c r="H8" s="10" t="n">
        <v>12</v>
      </c>
      <c r="I8" s="4" t="n">
        <v>1</v>
      </c>
      <c r="J8" s="11" t="n">
        <v>0.5</v>
      </c>
    </row>
    <row r="9">
      <c r="A9" s="4" t="inlineStr">
        <is>
          <t>Yogur</t>
        </is>
      </c>
      <c r="B9" s="4" t="inlineStr">
        <is>
          <t>U211–U213</t>
        </is>
      </c>
      <c r="C9" s="4" t="inlineStr">
        <is>
          <t>Fermentadores de yogur</t>
        </is>
      </c>
      <c r="D9" s="10" t="n">
        <v>64.5</v>
      </c>
      <c r="E9" s="4" t="n">
        <v>3</v>
      </c>
      <c r="F9" s="11" t="n">
        <v>0.896</v>
      </c>
      <c r="G9" s="4" t="inlineStr">
        <is>
          <t>U211–U213</t>
        </is>
      </c>
      <c r="H9" s="10" t="n">
        <v>49.5</v>
      </c>
      <c r="I9" s="4" t="n">
        <v>3</v>
      </c>
      <c r="J9" s="11" t="n">
        <v>0.6879999999999999</v>
      </c>
    </row>
    <row r="10">
      <c r="A10" s="4" t="inlineStr">
        <is>
          <t>Yogur</t>
        </is>
      </c>
      <c r="B10" s="4" t="inlineStr">
        <is>
          <t>U214</t>
        </is>
      </c>
      <c r="C10" s="4" t="inlineStr">
        <is>
          <t>Tanque pulmón y saborización</t>
        </is>
      </c>
      <c r="D10" s="10" t="n">
        <v>31.15</v>
      </c>
      <c r="E10" s="4" t="n">
        <v>1</v>
      </c>
      <c r="F10" s="11" t="n">
        <v>1.298</v>
      </c>
      <c r="G10" s="4" t="inlineStr">
        <is>
          <t>U214/U215</t>
        </is>
      </c>
      <c r="H10" s="10" t="n">
        <v>20.8</v>
      </c>
      <c r="I10" s="4" t="n">
        <v>2</v>
      </c>
      <c r="J10" s="11" t="n">
        <v>0.433</v>
      </c>
    </row>
    <row r="11">
      <c r="A11" s="4" t="inlineStr">
        <is>
          <t>Yogur</t>
        </is>
      </c>
      <c r="B11" s="4" t="inlineStr">
        <is>
          <t>U311</t>
        </is>
      </c>
      <c r="C11" s="4" t="inlineStr">
        <is>
          <t>Llenadora de vasos (YF150)</t>
        </is>
      </c>
      <c r="D11" s="10" t="n">
        <v>21.86</v>
      </c>
      <c r="E11" s="4" t="n">
        <v>1</v>
      </c>
      <c r="F11" s="11" t="n">
        <v>0.911</v>
      </c>
      <c r="G11" s="4" t="inlineStr">
        <is>
          <t>U311</t>
        </is>
      </c>
      <c r="H11" s="10" t="n">
        <v>17.89</v>
      </c>
      <c r="I11" s="4" t="n">
        <v>1</v>
      </c>
      <c r="J11" s="11" t="n">
        <v>0.745</v>
      </c>
    </row>
    <row r="12">
      <c r="A12" s="4" t="inlineStr">
        <is>
          <t>Yogur</t>
        </is>
      </c>
      <c r="B12" s="4" t="inlineStr">
        <is>
          <t>U312</t>
        </is>
      </c>
      <c r="C12" s="4" t="inlineStr">
        <is>
          <t>Llenadora de botellas (YF1000/1750)</t>
        </is>
      </c>
      <c r="D12" s="10" t="n">
        <v>14.79</v>
      </c>
      <c r="E12" s="4" t="n">
        <v>1</v>
      </c>
      <c r="F12" s="11" t="n">
        <v>0.616</v>
      </c>
      <c r="G12" s="4" t="inlineStr">
        <is>
          <t>U312</t>
        </is>
      </c>
      <c r="H12" s="10" t="n">
        <v>10.45</v>
      </c>
      <c r="I12" s="4" t="n">
        <v>1</v>
      </c>
      <c r="J12" s="11" t="n">
        <v>0.435</v>
      </c>
    </row>
    <row r="13">
      <c r="A13" s="4" t="inlineStr">
        <is>
          <t>Mozzarella</t>
        </is>
      </c>
      <c r="B13" s="4" t="inlineStr">
        <is>
          <t>U221</t>
        </is>
      </c>
      <c r="C13" s="4" t="inlineStr">
        <is>
          <t>Tina quesera cerrada</t>
        </is>
      </c>
      <c r="D13" s="10" t="n">
        <v>18.4</v>
      </c>
      <c r="E13" s="4" t="n">
        <v>1</v>
      </c>
      <c r="F13" s="11" t="n">
        <v>0.767</v>
      </c>
      <c r="G13" s="4" t="inlineStr">
        <is>
          <t>U221</t>
        </is>
      </c>
      <c r="H13" s="10" t="n">
        <v>17.15</v>
      </c>
      <c r="I13" s="4" t="n">
        <v>1</v>
      </c>
      <c r="J13" s="11" t="n">
        <v>0.715</v>
      </c>
    </row>
    <row r="14">
      <c r="A14" s="4" t="inlineStr">
        <is>
          <t>Mozzarella</t>
        </is>
      </c>
      <c r="B14" s="4" t="inlineStr">
        <is>
          <t>U222</t>
        </is>
      </c>
      <c r="C14" s="4" t="inlineStr">
        <is>
          <t>Banda de acidificación</t>
        </is>
      </c>
      <c r="D14" s="10" t="n">
        <v>16.25</v>
      </c>
      <c r="E14" s="4" t="n">
        <v>1</v>
      </c>
      <c r="F14" s="11" t="n">
        <v>0.677</v>
      </c>
      <c r="G14" s="4" t="inlineStr">
        <is>
          <t>U222</t>
        </is>
      </c>
      <c r="H14" s="10" t="n">
        <v>13.75</v>
      </c>
      <c r="I14" s="4" t="n">
        <v>1</v>
      </c>
      <c r="J14" s="11" t="n">
        <v>0.573</v>
      </c>
    </row>
    <row r="15">
      <c r="A15" s="4" t="inlineStr">
        <is>
          <t>Mozzarella</t>
        </is>
      </c>
      <c r="B15" s="4" t="inlineStr">
        <is>
          <t>U223</t>
        </is>
      </c>
      <c r="C15" s="4" t="inlineStr">
        <is>
          <t>Hiladora-moldeadora</t>
        </is>
      </c>
      <c r="D15" s="10" t="n">
        <v>5.42</v>
      </c>
      <c r="E15" s="4" t="n">
        <v>1</v>
      </c>
      <c r="F15" s="11" t="n">
        <v>0.226</v>
      </c>
      <c r="G15" s="4" t="inlineStr">
        <is>
          <t>U223</t>
        </is>
      </c>
      <c r="H15" s="10" t="n">
        <v>5.42</v>
      </c>
      <c r="I15" s="4" t="n">
        <v>1</v>
      </c>
      <c r="J15" s="11" t="n">
        <v>0.226</v>
      </c>
    </row>
    <row r="16">
      <c r="A16" s="4" t="inlineStr">
        <is>
          <t>Mozzarella</t>
        </is>
      </c>
      <c r="B16" s="4" t="inlineStr">
        <is>
          <t>U224</t>
        </is>
      </c>
      <c r="C16" s="4" t="inlineStr">
        <is>
          <t>Enfriamiento y salmuera</t>
        </is>
      </c>
      <c r="D16" s="10" t="n">
        <v>12.5</v>
      </c>
      <c r="E16" s="4" t="n">
        <v>4</v>
      </c>
      <c r="F16" s="11" t="n">
        <v>0.13</v>
      </c>
      <c r="G16" s="4" t="inlineStr">
        <is>
          <t>U224</t>
        </is>
      </c>
      <c r="H16" s="10" t="n">
        <v>12.5</v>
      </c>
      <c r="I16" s="4" t="n">
        <v>4</v>
      </c>
      <c r="J16" s="11" t="n">
        <v>0.13</v>
      </c>
    </row>
    <row r="17">
      <c r="A17" s="4" t="inlineStr">
        <is>
          <t>Mozzarella</t>
        </is>
      </c>
      <c r="B17" s="4" t="inlineStr">
        <is>
          <t>U321</t>
        </is>
      </c>
      <c r="C17" s="4" t="inlineStr">
        <is>
          <t>Termoformadora al vacío</t>
        </is>
      </c>
      <c r="D17" s="10" t="n">
        <v>11.12</v>
      </c>
      <c r="E17" s="4" t="n">
        <v>1</v>
      </c>
      <c r="F17" s="11" t="n">
        <v>0.463</v>
      </c>
      <c r="G17" s="4" t="inlineStr">
        <is>
          <t>U321</t>
        </is>
      </c>
      <c r="H17" s="10" t="n">
        <v>7.13</v>
      </c>
      <c r="I17" s="4" t="n">
        <v>1</v>
      </c>
      <c r="J17" s="11" t="n">
        <v>0.297</v>
      </c>
    </row>
    <row r="18">
      <c r="A18" s="4" t="inlineStr">
        <is>
          <t>Mozzarella</t>
        </is>
      </c>
      <c r="B18" s="4" t="inlineStr">
        <is>
          <t>U322</t>
        </is>
      </c>
      <c r="C18" s="4" t="inlineStr">
        <is>
          <t>Llenadora de tarrinas</t>
        </is>
      </c>
      <c r="D18" s="10" t="n">
        <v>5.54</v>
      </c>
      <c r="E18" s="4" t="n">
        <v>1</v>
      </c>
      <c r="F18" s="11" t="n">
        <v>0.231</v>
      </c>
      <c r="G18" s="4" t="inlineStr">
        <is>
          <t>U322</t>
        </is>
      </c>
      <c r="H18" s="10" t="n">
        <v>3.1</v>
      </c>
      <c r="I18" s="4" t="n">
        <v>1</v>
      </c>
      <c r="J18" s="11" t="n">
        <v>0.129</v>
      </c>
    </row>
    <row r="19">
      <c r="A19" s="4" t="inlineStr">
        <is>
          <t>Kéfir</t>
        </is>
      </c>
      <c r="B19" s="4" t="inlineStr">
        <is>
          <t>U231–U233</t>
        </is>
      </c>
      <c r="C19" s="4" t="inlineStr">
        <is>
          <t>Fermentadores de kéfir</t>
        </is>
      </c>
      <c r="D19" s="10" t="n">
        <v>81.98999999999999</v>
      </c>
      <c r="E19" s="4" t="n">
        <v>3</v>
      </c>
      <c r="F19" s="11" t="n">
        <v>1.139</v>
      </c>
      <c r="G19" s="4" t="inlineStr">
        <is>
          <t>U231–U233 + U235</t>
        </is>
      </c>
      <c r="H19" s="10" t="n">
        <v>68.48999999999999</v>
      </c>
      <c r="I19" s="4" t="n">
        <v>4</v>
      </c>
      <c r="J19" s="11" t="n">
        <v>0.713</v>
      </c>
    </row>
    <row r="20">
      <c r="A20" s="4" t="inlineStr">
        <is>
          <t>Kéfir</t>
        </is>
      </c>
      <c r="B20" s="4" t="inlineStr">
        <is>
          <t>U234A–C</t>
        </is>
      </c>
      <c r="C20" s="4" t="inlineStr">
        <is>
          <t>Tanques de maduración (3 × 5.000 L)</t>
        </is>
      </c>
      <c r="D20" s="10" t="n">
        <v>84.87</v>
      </c>
      <c r="E20" s="4" t="n">
        <v>3</v>
      </c>
      <c r="F20" s="11" t="n">
        <v>1.179</v>
      </c>
      <c r="G20" s="4" t="inlineStr">
        <is>
          <t>U234A–B</t>
        </is>
      </c>
      <c r="H20" s="10" t="n">
        <v>11.42</v>
      </c>
      <c r="I20" s="4" t="n">
        <v>2</v>
      </c>
      <c r="J20" s="11" t="n">
        <v>0.238</v>
      </c>
    </row>
    <row r="21">
      <c r="A21" s="4" t="inlineStr">
        <is>
          <t>Kéfir</t>
        </is>
      </c>
      <c r="B21" s="4" t="inlineStr">
        <is>
          <t>U331</t>
        </is>
      </c>
      <c r="C21" s="4" t="inlineStr">
        <is>
          <t>Llenadora de botellas de kéfir</t>
        </is>
      </c>
      <c r="D21" s="10" t="n">
        <v>15.24</v>
      </c>
      <c r="E21" s="4" t="n">
        <v>1</v>
      </c>
      <c r="F21" s="11" t="n">
        <v>0.635</v>
      </c>
      <c r="G21" s="4" t="inlineStr">
        <is>
          <t>U331</t>
        </is>
      </c>
      <c r="H21" s="10" t="n">
        <v>10.51</v>
      </c>
      <c r="I21" s="4" t="n">
        <v>1</v>
      </c>
      <c r="J21" s="11" t="n">
        <v>0.438</v>
      </c>
    </row>
    <row r="22">
      <c r="A22" s="4" t="inlineStr">
        <is>
          <t>Fin de línea</t>
        </is>
      </c>
      <c r="B22" s="4" t="inlineStr">
        <is>
          <t>U341</t>
        </is>
      </c>
      <c r="C22" s="4" t="inlineStr">
        <is>
          <t>Celda robotizada de paletizado</t>
        </is>
      </c>
      <c r="D22" s="10" t="n">
        <v>18.16</v>
      </c>
      <c r="E22" s="4" t="n">
        <v>1</v>
      </c>
      <c r="F22" s="11" t="n">
        <v>0.757</v>
      </c>
      <c r="G22" s="4" t="inlineStr">
        <is>
          <t>U341</t>
        </is>
      </c>
      <c r="H22" s="10" t="n">
        <v>17.71</v>
      </c>
      <c r="I22" s="4" t="n">
        <v>1</v>
      </c>
      <c r="J22" s="11" t="n">
        <v>0.738</v>
      </c>
    </row>
    <row r="25">
      <c r="A25" s="7" t="inlineStr">
        <is>
          <t>Capacidad real (lotes/día y kg/día)</t>
        </is>
      </c>
    </row>
    <row r="26">
      <c r="A26" t="inlineStr">
        <is>
          <t>Yogur</t>
        </is>
      </c>
      <c r="B26" t="inlineStr">
        <is>
          <t>base: U214 130% · 4.62 lotes · 46232 kg</t>
        </is>
      </c>
      <c r="G26" t="inlineStr">
        <is>
          <t>propuesta: U311 75% · 6.00 lotes · 60000 kg</t>
        </is>
      </c>
    </row>
    <row r="27">
      <c r="A27" t="inlineStr">
        <is>
          <t>Mozzarella</t>
        </is>
      </c>
      <c r="B27" t="inlineStr">
        <is>
          <t>base: U221 77% · 5.00 lotes · 2500 kg</t>
        </is>
      </c>
      <c r="G27" t="inlineStr">
        <is>
          <t>propuesta: U341 74% · 5.00 lotes · 2500 kg</t>
        </is>
      </c>
    </row>
    <row r="28">
      <c r="A28" t="inlineStr">
        <is>
          <t>Kéfir</t>
        </is>
      </c>
      <c r="B28" t="inlineStr">
        <is>
          <t>base: U234A–C 118% · 2.55 lotes · 12726 kg</t>
        </is>
      </c>
      <c r="G28" t="inlineStr">
        <is>
          <t>propuesta: U341 74% · 3.00 lotes · 15000 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Duración del lote si todo el lote va a una referencia</t>
        </is>
      </c>
    </row>
    <row r="3">
      <c r="A3" s="3" t="inlineStr">
        <is>
          <t>Referencia</t>
        </is>
      </c>
      <c r="B3" s="3" t="inlineStr">
        <is>
          <t>Unidades por lote</t>
        </is>
      </c>
      <c r="C3" s="3" t="inlineStr">
        <is>
          <t>Granel base (h)</t>
        </is>
      </c>
      <c r="D3" s="3" t="inlineStr">
        <is>
          <t>Granel propuesta (h)</t>
        </is>
      </c>
      <c r="E3" s="3" t="inlineStr">
        <is>
          <t>Envasado base (h)</t>
        </is>
      </c>
      <c r="F3" s="3" t="inlineStr">
        <is>
          <t>Envasado propuesta (h)</t>
        </is>
      </c>
      <c r="G3" s="3" t="inlineStr">
        <is>
          <t>Cámara base (h)</t>
        </is>
      </c>
      <c r="H3" s="3" t="inlineStr">
        <is>
          <t>Cámara propuesta (h)</t>
        </is>
      </c>
      <c r="I3" s="3" t="inlineStr">
        <is>
          <t>Total base (h)</t>
        </is>
      </c>
      <c r="J3" s="3" t="inlineStr">
        <is>
          <t>Total propuesta (h)</t>
        </is>
      </c>
    </row>
    <row r="4">
      <c r="A4" s="4" t="inlineStr">
        <is>
          <t>YF150</t>
        </is>
      </c>
      <c r="B4" s="4" t="n">
        <v>66667</v>
      </c>
      <c r="C4" s="10" t="n">
        <v>11.6</v>
      </c>
      <c r="D4" s="10" t="n">
        <v>8.85</v>
      </c>
      <c r="E4" s="10" t="n">
        <v>6.54</v>
      </c>
      <c r="F4" s="10" t="n">
        <v>6.04</v>
      </c>
      <c r="G4" s="10" t="n">
        <v>12</v>
      </c>
      <c r="H4" s="10" t="n">
        <v>12</v>
      </c>
      <c r="I4" s="10" t="n">
        <v>30.14</v>
      </c>
      <c r="J4" s="10" t="n">
        <v>26.89</v>
      </c>
    </row>
    <row r="5">
      <c r="A5" s="4" t="inlineStr">
        <is>
          <t>YF1000</t>
        </is>
      </c>
      <c r="B5" s="4" t="n">
        <v>10000</v>
      </c>
      <c r="C5" s="10" t="n">
        <v>11.6</v>
      </c>
      <c r="D5" s="10" t="n">
        <v>8.85</v>
      </c>
      <c r="E5" s="10" t="n">
        <v>2.94</v>
      </c>
      <c r="F5" s="10" t="n">
        <v>2.72</v>
      </c>
      <c r="G5" s="10" t="n">
        <v>12</v>
      </c>
      <c r="H5" s="10" t="n">
        <v>12</v>
      </c>
      <c r="I5" s="10" t="n">
        <v>26.54</v>
      </c>
      <c r="J5" s="10" t="n">
        <v>23.57</v>
      </c>
    </row>
    <row r="6">
      <c r="A6" s="4" t="inlineStr">
        <is>
          <t>YF1750</t>
        </is>
      </c>
      <c r="B6" s="4" t="n">
        <v>5714</v>
      </c>
      <c r="C6" s="10" t="n">
        <v>11.6</v>
      </c>
      <c r="D6" s="10" t="n">
        <v>8.85</v>
      </c>
      <c r="E6" s="10" t="n">
        <v>2.69</v>
      </c>
      <c r="F6" s="10" t="n">
        <v>2.48</v>
      </c>
      <c r="G6" s="10" t="n">
        <v>12</v>
      </c>
      <c r="H6" s="10" t="n">
        <v>12</v>
      </c>
      <c r="I6" s="10" t="n">
        <v>26.29</v>
      </c>
      <c r="J6" s="10" t="n">
        <v>23.33</v>
      </c>
    </row>
    <row r="7">
      <c r="A7" s="4" t="inlineStr">
        <is>
          <t>QM250</t>
        </is>
      </c>
      <c r="B7" s="4" t="n">
        <v>2000</v>
      </c>
      <c r="C7" s="10" t="n">
        <v>8.029999999999999</v>
      </c>
      <c r="D7" s="10" t="n">
        <v>7.28</v>
      </c>
      <c r="E7" s="10" t="n">
        <v>1.96</v>
      </c>
      <c r="F7" s="10" t="n">
        <v>1.81</v>
      </c>
      <c r="G7" s="10" t="n">
        <v>0</v>
      </c>
      <c r="H7" s="10" t="n">
        <v>0</v>
      </c>
      <c r="I7" s="10" t="n">
        <v>9.99</v>
      </c>
      <c r="J7" s="10" t="n">
        <v>9.09</v>
      </c>
    </row>
    <row r="8">
      <c r="A8" s="4" t="inlineStr">
        <is>
          <t>QM400</t>
        </is>
      </c>
      <c r="B8" s="4" t="n">
        <v>1250</v>
      </c>
      <c r="C8" s="10" t="n">
        <v>8.68</v>
      </c>
      <c r="D8" s="10" t="n">
        <v>7.93</v>
      </c>
      <c r="E8" s="10" t="n">
        <v>1.63</v>
      </c>
      <c r="F8" s="10" t="n">
        <v>1.51</v>
      </c>
      <c r="G8" s="10" t="n">
        <v>0</v>
      </c>
      <c r="H8" s="10" t="n">
        <v>0</v>
      </c>
      <c r="I8" s="10" t="n">
        <v>10.32</v>
      </c>
      <c r="J8" s="10" t="n">
        <v>9.44</v>
      </c>
    </row>
    <row r="9">
      <c r="A9" s="4" t="inlineStr">
        <is>
          <t>QM1000</t>
        </is>
      </c>
      <c r="B9" s="4" t="n">
        <v>500</v>
      </c>
      <c r="C9" s="10" t="n">
        <v>11.13</v>
      </c>
      <c r="D9" s="10" t="n">
        <v>10.38</v>
      </c>
      <c r="E9" s="10" t="n">
        <v>1.31</v>
      </c>
      <c r="F9" s="10" t="n">
        <v>1.21</v>
      </c>
      <c r="G9" s="10" t="n">
        <v>0</v>
      </c>
      <c r="H9" s="10" t="n">
        <v>0</v>
      </c>
      <c r="I9" s="10" t="n">
        <v>12.44</v>
      </c>
      <c r="J9" s="10" t="n">
        <v>11.59</v>
      </c>
    </row>
    <row r="10">
      <c r="A10" s="4" t="inlineStr">
        <is>
          <t>KF240</t>
        </is>
      </c>
      <c r="B10" s="4" t="n">
        <v>20833</v>
      </c>
      <c r="C10" s="10" t="n">
        <v>50.58</v>
      </c>
      <c r="D10" s="10" t="n">
        <v>22.33</v>
      </c>
      <c r="E10" s="10" t="n">
        <v>4.08</v>
      </c>
      <c r="F10" s="10" t="n">
        <v>3.77</v>
      </c>
      <c r="G10" s="10" t="n">
        <v>0</v>
      </c>
      <c r="H10" s="10" t="n">
        <v>12</v>
      </c>
      <c r="I10" s="10" t="n">
        <v>54.66</v>
      </c>
      <c r="J10" s="10" t="n">
        <v>38.1</v>
      </c>
    </row>
    <row r="11">
      <c r="A11" s="4" t="inlineStr">
        <is>
          <t>KF500</t>
        </is>
      </c>
      <c r="B11" s="4" t="n">
        <v>10000</v>
      </c>
      <c r="C11" s="10" t="n">
        <v>50.58</v>
      </c>
      <c r="D11" s="10" t="n">
        <v>22.33</v>
      </c>
      <c r="E11" s="10" t="n">
        <v>2.61</v>
      </c>
      <c r="F11" s="10" t="n">
        <v>2.42</v>
      </c>
      <c r="G11" s="10" t="n">
        <v>0</v>
      </c>
      <c r="H11" s="10" t="n">
        <v>12</v>
      </c>
      <c r="I11" s="10" t="n">
        <v>53.19</v>
      </c>
      <c r="J11" s="10" t="n">
        <v>36.75</v>
      </c>
    </row>
    <row r="12">
      <c r="A12" s="4" t="inlineStr">
        <is>
          <t>KF1000</t>
        </is>
      </c>
      <c r="B12" s="4" t="n">
        <v>5000</v>
      </c>
      <c r="C12" s="10" t="n">
        <v>50.58</v>
      </c>
      <c r="D12" s="10" t="n">
        <v>22.33</v>
      </c>
      <c r="E12" s="10" t="n">
        <v>1.96</v>
      </c>
      <c r="F12" s="10" t="n">
        <v>1.81</v>
      </c>
      <c r="G12" s="10" t="n">
        <v>0</v>
      </c>
      <c r="H12" s="10" t="n">
        <v>12</v>
      </c>
      <c r="I12" s="10" t="n">
        <v>52.54</v>
      </c>
      <c r="J12" s="10" t="n">
        <v>36.14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4" customWidth="1" min="5" max="5"/>
    <col width="22" customWidth="1" min="6" max="6"/>
    <col width="24" customWidth="1" min="7" max="7"/>
  </cols>
  <sheetData>
    <row r="1">
      <c r="A1" s="1" t="inlineStr">
        <is>
          <t>Demanda diaria por referencia (mezcla supuesta, validar con datos del cliente)</t>
        </is>
      </c>
    </row>
    <row r="3">
      <c r="A3" s="3" t="inlineStr">
        <is>
          <t>Referencia</t>
        </is>
      </c>
      <c r="B3" s="3" t="inlineStr">
        <is>
          <t>Envasadora</t>
        </is>
      </c>
      <c r="C3" s="3" t="inlineStr">
        <is>
          <t>Mezcla</t>
        </is>
      </c>
      <c r="D3" s="3" t="inlineStr">
        <is>
          <t>kg/día</t>
        </is>
      </c>
      <c r="E3" s="3" t="inlineStr">
        <is>
          <t>Unidades/día</t>
        </is>
      </c>
      <c r="F3" s="3" t="inlineStr">
        <is>
          <t>Horas de envasado base</t>
        </is>
      </c>
      <c r="G3" s="3" t="inlineStr">
        <is>
          <t>Horas de envasado propuesta</t>
        </is>
      </c>
    </row>
    <row r="4">
      <c r="A4" s="4" t="inlineStr">
        <is>
          <t>YF150</t>
        </is>
      </c>
      <c r="B4" s="4" t="inlineStr">
        <is>
          <t>U311</t>
        </is>
      </c>
      <c r="C4" s="12" t="n">
        <v>0.45</v>
      </c>
      <c r="D4" s="10" t="n">
        <v>27000</v>
      </c>
      <c r="E4" s="4" t="n">
        <v>180000</v>
      </c>
      <c r="F4" s="10" t="n">
        <v>17.65</v>
      </c>
      <c r="G4" s="10" t="n">
        <v>16.3</v>
      </c>
    </row>
    <row r="5">
      <c r="A5" s="4" t="inlineStr">
        <is>
          <t>YF1000</t>
        </is>
      </c>
      <c r="B5" s="4" t="inlineStr">
        <is>
          <t>U312</t>
        </is>
      </c>
      <c r="C5" s="12" t="n">
        <v>0.35</v>
      </c>
      <c r="D5" s="10" t="n">
        <v>21000</v>
      </c>
      <c r="E5" s="4" t="n">
        <v>21000</v>
      </c>
      <c r="F5" s="10" t="n">
        <v>6.18</v>
      </c>
      <c r="G5" s="10" t="n">
        <v>5.71</v>
      </c>
    </row>
    <row r="6">
      <c r="A6" s="4" t="inlineStr">
        <is>
          <t>YF1750</t>
        </is>
      </c>
      <c r="B6" s="4" t="inlineStr">
        <is>
          <t>U312</t>
        </is>
      </c>
      <c r="C6" s="12" t="n">
        <v>0.2</v>
      </c>
      <c r="D6" s="10" t="n">
        <v>12000</v>
      </c>
      <c r="E6" s="4" t="n">
        <v>6857</v>
      </c>
      <c r="F6" s="10" t="n">
        <v>3.23</v>
      </c>
      <c r="G6" s="10" t="n">
        <v>2.98</v>
      </c>
    </row>
    <row r="7">
      <c r="A7" s="4" t="inlineStr">
        <is>
          <t>QM250</t>
        </is>
      </c>
      <c r="B7" s="4" t="inlineStr">
        <is>
          <t>U322</t>
        </is>
      </c>
      <c r="C7" s="12" t="n">
        <v>0.2</v>
      </c>
      <c r="D7" s="10" t="n">
        <v>500</v>
      </c>
      <c r="E7" s="4" t="n">
        <v>2000</v>
      </c>
      <c r="F7" s="10" t="n">
        <v>1.96</v>
      </c>
      <c r="G7" s="10" t="n">
        <v>1.81</v>
      </c>
    </row>
    <row r="8">
      <c r="A8" s="4" t="inlineStr">
        <is>
          <t>QM400</t>
        </is>
      </c>
      <c r="B8" s="4" t="inlineStr">
        <is>
          <t>U321</t>
        </is>
      </c>
      <c r="C8" s="12" t="n">
        <v>0.4</v>
      </c>
      <c r="D8" s="10" t="n">
        <v>1000</v>
      </c>
      <c r="E8" s="4" t="n">
        <v>2500</v>
      </c>
      <c r="F8" s="10" t="n">
        <v>3.27</v>
      </c>
      <c r="G8" s="10" t="n">
        <v>3.02</v>
      </c>
    </row>
    <row r="9">
      <c r="A9" s="4" t="inlineStr">
        <is>
          <t>QM1000</t>
        </is>
      </c>
      <c r="B9" s="4" t="inlineStr">
        <is>
          <t>U321</t>
        </is>
      </c>
      <c r="C9" s="12" t="n">
        <v>0.4</v>
      </c>
      <c r="D9" s="10" t="n">
        <v>1000</v>
      </c>
      <c r="E9" s="4" t="n">
        <v>1000</v>
      </c>
      <c r="F9" s="10" t="n">
        <v>2.61</v>
      </c>
      <c r="G9" s="10" t="n">
        <v>2.42</v>
      </c>
    </row>
    <row r="10">
      <c r="A10" s="4" t="inlineStr">
        <is>
          <t>KF240</t>
        </is>
      </c>
      <c r="B10" s="4" t="inlineStr">
        <is>
          <t>U331</t>
        </is>
      </c>
      <c r="C10" s="12" t="n">
        <v>0.4</v>
      </c>
      <c r="D10" s="10" t="n">
        <v>6000</v>
      </c>
      <c r="E10" s="4" t="n">
        <v>25000</v>
      </c>
      <c r="F10" s="10" t="n">
        <v>4.9</v>
      </c>
      <c r="G10" s="10" t="n">
        <v>4.53</v>
      </c>
    </row>
    <row r="11">
      <c r="A11" s="4" t="inlineStr">
        <is>
          <t>KF500</t>
        </is>
      </c>
      <c r="B11" s="4" t="inlineStr">
        <is>
          <t>U331</t>
        </is>
      </c>
      <c r="C11" s="12" t="n">
        <v>0.35</v>
      </c>
      <c r="D11" s="10" t="n">
        <v>5250</v>
      </c>
      <c r="E11" s="4" t="n">
        <v>10500</v>
      </c>
      <c r="F11" s="10" t="n">
        <v>2.75</v>
      </c>
      <c r="G11" s="10" t="n">
        <v>2.54</v>
      </c>
    </row>
    <row r="12">
      <c r="A12" s="4" t="inlineStr">
        <is>
          <t>KF1000</t>
        </is>
      </c>
      <c r="B12" s="4" t="inlineStr">
        <is>
          <t>U331</t>
        </is>
      </c>
      <c r="C12" s="12" t="n">
        <v>0.25</v>
      </c>
      <c r="D12" s="10" t="n">
        <v>3750</v>
      </c>
      <c r="E12" s="4" t="n">
        <v>3750</v>
      </c>
      <c r="F12" s="10" t="n">
        <v>1.47</v>
      </c>
      <c r="G12" s="10" t="n">
        <v>1.36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Semana de 168 h de la llenadora de vasos U311</t>
        </is>
      </c>
    </row>
    <row r="3">
      <c r="A3" s="3" t="inlineStr">
        <is>
          <t>Concepto (h/semana)</t>
        </is>
      </c>
      <c r="B3" s="3" t="inlineStr">
        <is>
          <t>Base</t>
        </is>
      </c>
      <c r="C3" s="3" t="inlineStr">
        <is>
          <t>Propuesta</t>
        </is>
      </c>
    </row>
    <row r="4">
      <c r="A4" s="4" t="inlineStr">
        <is>
          <t>Tiempo calendario</t>
        </is>
      </c>
      <c r="B4" s="10" t="n">
        <v>168</v>
      </c>
      <c r="C4" s="10" t="n">
        <v>168</v>
      </c>
    </row>
    <row r="5">
      <c r="A5" s="4" t="inlineStr">
        <is>
          <t>No programado (domingo)</t>
        </is>
      </c>
      <c r="B5" s="10" t="n">
        <v>24</v>
      </c>
      <c r="C5" s="10" t="n">
        <v>24</v>
      </c>
    </row>
    <row r="6">
      <c r="A6" s="4" t="inlineStr">
        <is>
          <t>CIP diario</t>
        </is>
      </c>
      <c r="B6" s="10" t="n">
        <v>9</v>
      </c>
      <c r="C6" s="10" t="n">
        <v>6</v>
      </c>
    </row>
    <row r="7">
      <c r="A7" s="4" t="inlineStr">
        <is>
          <t>Descansos sin relevo</t>
        </is>
      </c>
      <c r="B7" s="10" t="n">
        <v>9</v>
      </c>
      <c r="C7" s="10" t="n">
        <v>0</v>
      </c>
    </row>
    <row r="8">
      <c r="A8" s="4" t="inlineStr">
        <is>
          <t>Cambios de turno</t>
        </is>
      </c>
      <c r="B8" s="10" t="n">
        <v>3</v>
      </c>
      <c r="C8" s="10" t="n">
        <v>1.5</v>
      </c>
    </row>
    <row r="9">
      <c r="A9" s="4" t="inlineStr">
        <is>
          <t>Fallas</t>
        </is>
      </c>
      <c r="B9" s="10" t="n">
        <v>3</v>
      </c>
      <c r="C9" s="10" t="n">
        <v>1.685</v>
      </c>
    </row>
    <row r="10">
      <c r="A10" s="4" t="inlineStr">
        <is>
          <t>Velocidad y microparadas</t>
        </is>
      </c>
      <c r="B10" s="10" t="n">
        <v>18</v>
      </c>
      <c r="C10" s="10" t="n">
        <v>10.785</v>
      </c>
    </row>
    <row r="11">
      <c r="A11" s="4" t="inlineStr">
        <is>
          <t>Rechazos</t>
        </is>
      </c>
      <c r="B11" s="10" t="n">
        <v>1.53</v>
      </c>
      <c r="C11" s="10" t="n">
        <v>0.992</v>
      </c>
    </row>
    <row r="12">
      <c r="A12" s="4" t="inlineStr">
        <is>
          <t>Tiempo que agrega valor</t>
        </is>
      </c>
      <c r="B12" s="10" t="n">
        <v>100.47</v>
      </c>
      <c r="C12" s="10" t="n">
        <v>123.037</v>
      </c>
    </row>
    <row r="13">
      <c r="A13" s="4" t="inlineStr">
        <is>
          <t>Disponibilidad</t>
        </is>
      </c>
      <c r="B13" s="10" t="n">
        <v>0.976</v>
      </c>
      <c r="C13" s="10" t="n">
        <v>0.988</v>
      </c>
    </row>
    <row r="14">
      <c r="A14" s="4" t="inlineStr">
        <is>
          <t>Rendimiento</t>
        </is>
      </c>
      <c r="B14" s="10" t="n">
        <v>0.85</v>
      </c>
      <c r="C14" s="10" t="n">
        <v>0.92</v>
      </c>
    </row>
    <row r="15">
      <c r="A15" s="4" t="inlineStr">
        <is>
          <t>Calidad</t>
        </is>
      </c>
      <c r="B15" s="10" t="n">
        <v>0.985</v>
      </c>
      <c r="C15" s="10" t="n">
        <v>0.992</v>
      </c>
    </row>
    <row r="16">
      <c r="A16" s="4" t="inlineStr">
        <is>
          <t>OEE</t>
        </is>
      </c>
      <c r="B16" s="10" t="n">
        <v>0.8169999999999999</v>
      </c>
      <c r="C16" s="10" t="n">
        <v>0.901</v>
      </c>
    </row>
    <row r="17">
      <c r="A17" s="4" t="inlineStr">
        <is>
          <t>TEEP</t>
        </is>
      </c>
      <c r="B17" s="10" t="n">
        <v>0.598</v>
      </c>
      <c r="C17" s="10" t="n">
        <v>0.732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8" customWidth="1" min="4" max="4"/>
    <col width="14" customWidth="1" min="5" max="5"/>
    <col width="12" customWidth="1" min="6" max="6"/>
  </cols>
  <sheetData>
    <row r="1">
      <c r="A1" s="7" t="inlineStr">
        <is>
          <t>Yogur · Escenario base (antes de la propuesta)</t>
        </is>
      </c>
    </row>
    <row r="2">
      <c r="A2" s="8" t="inlineStr">
        <is>
          <t>Proceso</t>
        </is>
      </c>
      <c r="B2" s="8" t="inlineStr">
        <is>
          <t>Unidad</t>
        </is>
      </c>
      <c r="C2" s="8" t="inlineStr">
        <is>
          <t>C/T (h)</t>
        </is>
      </c>
      <c r="D2" s="8" t="inlineStr">
        <is>
          <t>Valor agregado (h)</t>
        </is>
      </c>
      <c r="E2" s="8" t="inlineStr">
        <is>
          <t>C/O</t>
        </is>
      </c>
      <c r="F2" s="8" t="inlineStr">
        <is>
          <t>Operarios</t>
        </is>
      </c>
    </row>
    <row r="3">
      <c r="A3" t="inlineStr">
        <is>
          <t>Recepción y HTST</t>
        </is>
      </c>
      <c r="B3" t="inlineStr">
        <is>
          <t>U111–U125</t>
        </is>
      </c>
      <c r="C3" t="n">
        <v>0.45</v>
      </c>
      <c r="D3" t="n">
        <v>0.45</v>
      </c>
      <c r="E3" t="inlineStr">
        <is>
          <t>—</t>
        </is>
      </c>
      <c r="F3" t="n">
        <v>2</v>
      </c>
    </row>
    <row r="4">
      <c r="A4" t="inlineStr">
        <is>
          <t>Formulación</t>
        </is>
      </c>
      <c r="B4" t="inlineStr">
        <is>
          <t>U201</t>
        </is>
      </c>
      <c r="C4" t="n">
        <v>1.1</v>
      </c>
      <c r="D4" t="n">
        <v>1.1</v>
      </c>
      <c r="E4" t="inlineStr">
        <is>
          <t>0,5 h CIP</t>
        </is>
      </c>
      <c r="F4" t="n">
        <v>2</v>
      </c>
    </row>
    <row r="5">
      <c r="A5" t="inlineStr">
        <is>
          <t>Homog. + past. 85 °C</t>
        </is>
      </c>
      <c r="B5" t="inlineStr">
        <is>
          <t>U202</t>
        </is>
      </c>
      <c r="C5" t="n">
        <v>1.25</v>
      </c>
      <c r="D5" t="n">
        <v>1</v>
      </c>
      <c r="E5" t="inlineStr">
        <is>
          <t>0,75 h</t>
        </is>
      </c>
      <c r="F5" t="n">
        <v>1</v>
      </c>
    </row>
    <row r="6">
      <c r="A6" t="inlineStr">
        <is>
          <t>Incubación</t>
        </is>
      </c>
      <c r="B6" t="inlineStr">
        <is>
          <t>U211–U213</t>
        </is>
      </c>
      <c r="C6" t="n">
        <v>7.25</v>
      </c>
      <c r="D6" t="n">
        <v>5.25</v>
      </c>
      <c r="E6" t="inlineStr">
        <is>
          <t>1,0 h CIP</t>
        </is>
      </c>
      <c r="F6" t="n">
        <v>1</v>
      </c>
    </row>
    <row r="7">
      <c r="A7" t="inlineStr">
        <is>
          <t>Romper y enfriar</t>
        </is>
      </c>
      <c r="B7" t="inlineStr">
        <is>
          <t>U211–U213</t>
        </is>
      </c>
      <c r="C7" t="n">
        <v>1.5</v>
      </c>
      <c r="D7" t="n">
        <v>0.5</v>
      </c>
      <c r="E7" t="inlineStr">
        <is>
          <t>—</t>
        </is>
      </c>
      <c r="F7" t="n">
        <v>1</v>
      </c>
    </row>
    <row r="8">
      <c r="A8" t="inlineStr">
        <is>
          <t>Saborizar y envasar</t>
        </is>
      </c>
      <c r="B8" t="inlineStr">
        <is>
          <t>U311 · U312</t>
        </is>
      </c>
      <c r="C8" t="n">
        <v>2.94</v>
      </c>
      <c r="D8" t="n">
        <v>2.94</v>
      </c>
      <c r="E8" t="inlineStr">
        <is>
          <t>45 min</t>
        </is>
      </c>
      <c r="F8" t="n">
        <v>3</v>
      </c>
    </row>
    <row r="9">
      <c r="A9" t="inlineStr">
        <is>
          <t>Inventarios (h)</t>
        </is>
      </c>
      <c r="B9" t="inlineStr">
        <is>
          <t>Tanque de crudo: 6.0 · Silo S1: 12.0 · Cola U202: 0.5 · Liberación + pulmón: 2.0 · Cámara 4 °C + PT: 36.0</t>
        </is>
      </c>
    </row>
    <row r="10">
      <c r="A10" t="inlineStr">
        <is>
          <t>Lead time (h)</t>
        </is>
      </c>
      <c r="B10" t="n">
        <v>70.95999999999999</v>
      </c>
      <c r="C10" t="inlineStr">
        <is>
          <t>Valor agregado (h)</t>
        </is>
      </c>
      <c r="D10" t="n">
        <v>11.24</v>
      </c>
      <c r="E10" t="inlineStr">
        <is>
          <t>PCE</t>
        </is>
      </c>
      <c r="F10" t="n">
        <v>0.158</v>
      </c>
    </row>
    <row r="12">
      <c r="A12" s="7" t="inlineStr">
        <is>
          <t>Mozzarella · Escenario base (antes de la propuesta)</t>
        </is>
      </c>
    </row>
    <row r="13">
      <c r="A13" s="8" t="inlineStr">
        <is>
          <t>Proceso</t>
        </is>
      </c>
      <c r="B13" s="8" t="inlineStr">
        <is>
          <t>Unidad</t>
        </is>
      </c>
      <c r="C13" s="8" t="inlineStr">
        <is>
          <t>C/T (h)</t>
        </is>
      </c>
      <c r="D13" s="8" t="inlineStr">
        <is>
          <t>Valor agregado (h)</t>
        </is>
      </c>
      <c r="E13" s="8" t="inlineStr">
        <is>
          <t>C/O</t>
        </is>
      </c>
      <c r="F13" s="8" t="inlineStr">
        <is>
          <t>Operarios</t>
        </is>
      </c>
    </row>
    <row r="14">
      <c r="A14" t="inlineStr">
        <is>
          <t>Recepción y HTST</t>
        </is>
      </c>
      <c r="B14" t="inlineStr">
        <is>
          <t>U111–U124</t>
        </is>
      </c>
      <c r="C14" t="n">
        <v>0.25</v>
      </c>
      <c r="D14" t="n">
        <v>0.25</v>
      </c>
      <c r="E14" t="inlineStr">
        <is>
          <t>—</t>
        </is>
      </c>
      <c r="F14" t="n">
        <v>2</v>
      </c>
    </row>
    <row r="15">
      <c r="A15" t="inlineStr">
        <is>
          <t>Coagular y cocer</t>
        </is>
      </c>
      <c r="B15" t="inlineStr">
        <is>
          <t>U221</t>
        </is>
      </c>
      <c r="C15" t="n">
        <v>3.1</v>
      </c>
      <c r="D15" t="n">
        <v>2.85</v>
      </c>
      <c r="E15" t="inlineStr">
        <is>
          <t>0,5 h CIP</t>
        </is>
      </c>
      <c r="F15" t="n">
        <v>1</v>
      </c>
    </row>
    <row r="16">
      <c r="A16" t="inlineStr">
        <is>
          <t>Acidificar cuajada</t>
        </is>
      </c>
      <c r="B16" t="inlineStr">
        <is>
          <t>U222</t>
        </is>
      </c>
      <c r="C16" t="n">
        <v>3</v>
      </c>
      <c r="D16" t="n">
        <v>2.5</v>
      </c>
      <c r="E16" t="inlineStr">
        <is>
          <t>—</t>
        </is>
      </c>
      <c r="F16" t="n">
        <v>1</v>
      </c>
    </row>
    <row r="17">
      <c r="A17" t="inlineStr">
        <is>
          <t>Hilar y moldear</t>
        </is>
      </c>
      <c r="B17" t="inlineStr">
        <is>
          <t>U223</t>
        </is>
      </c>
      <c r="C17" t="n">
        <v>0.83</v>
      </c>
      <c r="D17" t="n">
        <v>0.83</v>
      </c>
      <c r="E17" t="inlineStr">
        <is>
          <t>—</t>
        </is>
      </c>
      <c r="F17" t="n">
        <v>2</v>
      </c>
    </row>
    <row r="18">
      <c r="A18" t="inlineStr">
        <is>
          <t>Enfriar y salar</t>
        </is>
      </c>
      <c r="B18" t="inlineStr">
        <is>
          <t>U224</t>
        </is>
      </c>
      <c r="C18" t="n">
        <v>2.5</v>
      </c>
      <c r="D18" t="n">
        <v>2.5</v>
      </c>
      <c r="E18" t="inlineStr">
        <is>
          <t>—</t>
        </is>
      </c>
      <c r="F18" t="n">
        <v>1</v>
      </c>
    </row>
    <row r="19">
      <c r="A19" t="inlineStr">
        <is>
          <t>Empacar</t>
        </is>
      </c>
      <c r="B19" t="inlineStr">
        <is>
          <t>U321/U322</t>
        </is>
      </c>
      <c r="C19" t="n">
        <v>1.63</v>
      </c>
      <c r="D19" t="n">
        <v>1.63</v>
      </c>
      <c r="E19" t="inlineStr">
        <is>
          <t>45 min</t>
        </is>
      </c>
      <c r="F19" t="n">
        <v>2</v>
      </c>
    </row>
    <row r="20">
      <c r="A20" t="inlineStr">
        <is>
          <t>Inventarios (h)</t>
        </is>
      </c>
      <c r="B20" t="inlineStr">
        <is>
          <t>Tanque de crudo: 6.0 · Silo S2: 12.0 · Cuajada en banda: 0.2 · Salmuera: 0.2 · PT 2–4 °C: 24.0</t>
        </is>
      </c>
    </row>
    <row r="21">
      <c r="A21" t="inlineStr">
        <is>
          <t>Lead time (h)</t>
        </is>
      </c>
      <c r="B21" t="n">
        <v>53.82</v>
      </c>
      <c r="C21" t="inlineStr">
        <is>
          <t>Valor agregado (h)</t>
        </is>
      </c>
      <c r="D21" t="n">
        <v>10.57</v>
      </c>
      <c r="E21" t="inlineStr">
        <is>
          <t>PCE</t>
        </is>
      </c>
      <c r="F21" t="n">
        <v>0.196</v>
      </c>
    </row>
    <row r="23">
      <c r="A23" s="7" t="inlineStr">
        <is>
          <t>Kéfir · Escenario base (antes de la propuesta)</t>
        </is>
      </c>
    </row>
    <row r="24">
      <c r="A24" s="8" t="inlineStr">
        <is>
          <t>Proceso</t>
        </is>
      </c>
      <c r="B24" s="8" t="inlineStr">
        <is>
          <t>Unidad</t>
        </is>
      </c>
      <c r="C24" s="8" t="inlineStr">
        <is>
          <t>C/T (h)</t>
        </is>
      </c>
      <c r="D24" s="8" t="inlineStr">
        <is>
          <t>Valor agregado (h)</t>
        </is>
      </c>
      <c r="E24" s="8" t="inlineStr">
        <is>
          <t>C/O</t>
        </is>
      </c>
      <c r="F24" s="8" t="inlineStr">
        <is>
          <t>Operarios</t>
        </is>
      </c>
    </row>
    <row r="25">
      <c r="A25" t="inlineStr">
        <is>
          <t>Recepción y HTST</t>
        </is>
      </c>
      <c r="B25" t="inlineStr">
        <is>
          <t>U111–U125</t>
        </is>
      </c>
      <c r="C25" t="n">
        <v>0.25</v>
      </c>
      <c r="D25" t="n">
        <v>0.25</v>
      </c>
      <c r="E25" t="inlineStr">
        <is>
          <t>—</t>
        </is>
      </c>
      <c r="F25" t="n">
        <v>2</v>
      </c>
    </row>
    <row r="26">
      <c r="A26" t="inlineStr">
        <is>
          <t>Homog. + past. 90–95 °C</t>
        </is>
      </c>
      <c r="B26" t="inlineStr">
        <is>
          <t>U202</t>
        </is>
      </c>
      <c r="C26" t="n">
        <v>0.75</v>
      </c>
      <c r="D26" t="n">
        <v>0.5</v>
      </c>
      <c r="E26" t="inlineStr">
        <is>
          <t>0,75 h</t>
        </is>
      </c>
      <c r="F26" t="n">
        <v>1</v>
      </c>
    </row>
    <row r="27">
      <c r="A27" t="inlineStr">
        <is>
          <t>Inocular y fermentar</t>
        </is>
      </c>
      <c r="B27" t="inlineStr">
        <is>
          <t>U231–U233</t>
        </is>
      </c>
      <c r="C27" t="n">
        <v>24.58</v>
      </c>
      <c r="D27" t="n">
        <v>20.58</v>
      </c>
      <c r="E27" t="inlineStr">
        <is>
          <t>1 h CIP</t>
        </is>
      </c>
      <c r="F27" t="n">
        <v>1</v>
      </c>
    </row>
    <row r="28">
      <c r="A28" t="inlineStr">
        <is>
          <t>Enfriar y tamizar</t>
        </is>
      </c>
      <c r="B28" t="inlineStr">
        <is>
          <t>fermentador</t>
        </is>
      </c>
      <c r="C28" t="n">
        <v>1.25</v>
      </c>
      <c r="D28" t="n">
        <v>0.5</v>
      </c>
      <c r="E28" t="inlineStr">
        <is>
          <t>—</t>
        </is>
      </c>
      <c r="F28" t="n">
        <v>1</v>
      </c>
    </row>
    <row r="29">
      <c r="A29" t="inlineStr">
        <is>
          <t>Madurar en tanque</t>
        </is>
      </c>
      <c r="B29" t="inlineStr">
        <is>
          <t>U234A–C</t>
        </is>
      </c>
      <c r="C29" t="n">
        <v>24</v>
      </c>
      <c r="D29" t="n">
        <v>12</v>
      </c>
      <c r="E29" t="inlineStr">
        <is>
          <t>—</t>
        </is>
      </c>
      <c r="F29" t="n">
        <v>0</v>
      </c>
    </row>
    <row r="30">
      <c r="A30" t="inlineStr">
        <is>
          <t>Envasar</t>
        </is>
      </c>
      <c r="B30" t="inlineStr">
        <is>
          <t>U331</t>
        </is>
      </c>
      <c r="C30" t="n">
        <v>3.04</v>
      </c>
      <c r="D30" t="n">
        <v>3.04</v>
      </c>
      <c r="E30" t="inlineStr">
        <is>
          <t>45 min</t>
        </is>
      </c>
      <c r="F30" t="n">
        <v>2</v>
      </c>
    </row>
    <row r="31">
      <c r="A31" t="inlineStr">
        <is>
          <t>Inventarios (h)</t>
        </is>
      </c>
      <c r="B31" t="inlineStr">
        <is>
          <t>Tanque de crudo: 6.0 · Silo S3: 12.0 · Cola U202: 0.5 · Pulmón de llenado: 1.5 · PT 2–4 °C: 24.0</t>
        </is>
      </c>
    </row>
    <row r="32">
      <c r="A32" t="inlineStr">
        <is>
          <t>Lead time (h)</t>
        </is>
      </c>
      <c r="B32" t="n">
        <v>97.89</v>
      </c>
      <c r="C32" t="inlineStr">
        <is>
          <t>Valor agregado (h)</t>
        </is>
      </c>
      <c r="D32" t="n">
        <v>36.87</v>
      </c>
      <c r="E32" t="inlineStr">
        <is>
          <t>PCE</t>
        </is>
      </c>
      <c r="F32" t="n">
        <v>0.377</v>
      </c>
    </row>
    <row r="34">
      <c r="A34" s="7" t="inlineStr">
        <is>
          <t>Yogur · Escenario propuesto</t>
        </is>
      </c>
    </row>
    <row r="35">
      <c r="A35" s="8" t="inlineStr">
        <is>
          <t>Proceso</t>
        </is>
      </c>
      <c r="B35" s="8" t="inlineStr">
        <is>
          <t>Unidad</t>
        </is>
      </c>
      <c r="C35" s="8" t="inlineStr">
        <is>
          <t>C/T (h)</t>
        </is>
      </c>
      <c r="D35" s="8" t="inlineStr">
        <is>
          <t>Valor agregado (h)</t>
        </is>
      </c>
      <c r="E35" s="8" t="inlineStr">
        <is>
          <t>C/O</t>
        </is>
      </c>
      <c r="F35" s="8" t="inlineStr">
        <is>
          <t>Operarios</t>
        </is>
      </c>
    </row>
    <row r="36">
      <c r="A36" t="inlineStr">
        <is>
          <t>Recepción y HTST</t>
        </is>
      </c>
      <c r="B36" t="inlineStr">
        <is>
          <t>U111–U125</t>
        </is>
      </c>
      <c r="C36" t="n">
        <v>0.45</v>
      </c>
      <c r="D36" t="n">
        <v>0.45</v>
      </c>
      <c r="E36" t="inlineStr">
        <is>
          <t>—</t>
        </is>
      </c>
      <c r="F36" t="n">
        <v>2</v>
      </c>
    </row>
    <row r="37">
      <c r="A37" t="inlineStr">
        <is>
          <t>Formulación</t>
        </is>
      </c>
      <c r="B37" t="inlineStr">
        <is>
          <t>U201</t>
        </is>
      </c>
      <c r="C37" t="n">
        <v>1.1</v>
      </c>
      <c r="D37" t="n">
        <v>1.1</v>
      </c>
      <c r="E37" t="inlineStr">
        <is>
          <t>0,5 h CIP</t>
        </is>
      </c>
      <c r="F37" t="n">
        <v>2</v>
      </c>
    </row>
    <row r="38">
      <c r="A38" t="inlineStr">
        <is>
          <t>Homog. + past. 85 °C</t>
        </is>
      </c>
      <c r="B38" t="inlineStr">
        <is>
          <t>U202</t>
        </is>
      </c>
      <c r="C38" t="n">
        <v>1.25</v>
      </c>
      <c r="D38" t="n">
        <v>1</v>
      </c>
      <c r="E38" t="inlineStr">
        <is>
          <t>0,75 h</t>
        </is>
      </c>
      <c r="F38" t="n">
        <v>1</v>
      </c>
    </row>
    <row r="39">
      <c r="A39" t="inlineStr">
        <is>
          <t>Incubación</t>
        </is>
      </c>
      <c r="B39" t="inlineStr">
        <is>
          <t>U211–U213</t>
        </is>
      </c>
      <c r="C39" t="n">
        <v>5.25</v>
      </c>
      <c r="D39" t="n">
        <v>5.25</v>
      </c>
      <c r="E39" t="inlineStr">
        <is>
          <t>0,75 h CIP</t>
        </is>
      </c>
      <c r="F39" t="n">
        <v>1</v>
      </c>
    </row>
    <row r="40">
      <c r="A40" t="inlineStr">
        <is>
          <t>Romper y enfriar</t>
        </is>
      </c>
      <c r="B40" t="inlineStr">
        <is>
          <t>U211–U213</t>
        </is>
      </c>
      <c r="C40" t="n">
        <v>1.25</v>
      </c>
      <c r="D40" t="n">
        <v>0.5</v>
      </c>
      <c r="E40" t="inlineStr">
        <is>
          <t>—</t>
        </is>
      </c>
      <c r="F40" t="n">
        <v>1</v>
      </c>
    </row>
    <row r="41">
      <c r="A41" t="inlineStr">
        <is>
          <t>Saborizar y envasar</t>
        </is>
      </c>
      <c r="B41" t="inlineStr">
        <is>
          <t>U311 · U312</t>
        </is>
      </c>
      <c r="C41" t="n">
        <v>2.72</v>
      </c>
      <c r="D41" t="n">
        <v>2.72</v>
      </c>
      <c r="E41" t="inlineStr">
        <is>
          <t>20 min</t>
        </is>
      </c>
      <c r="F41" t="n">
        <v>3</v>
      </c>
    </row>
    <row r="42">
      <c r="A42" t="inlineStr">
        <is>
          <t>Inventarios (h)</t>
        </is>
      </c>
      <c r="B42" t="inlineStr">
        <is>
          <t>Tanque de crudo: 4.0 · Silo S1: 4.0 · Cola U202: 0.2 · Liberación + pulmón: 1.4 · Cámara 4 °C + PT: 36.0</t>
        </is>
      </c>
    </row>
    <row r="43">
      <c r="A43" t="inlineStr">
        <is>
          <t>Lead time (h)</t>
        </is>
      </c>
      <c r="B43" t="n">
        <v>57.63</v>
      </c>
      <c r="C43" t="inlineStr">
        <is>
          <t>Valor agregado (h)</t>
        </is>
      </c>
      <c r="D43" t="n">
        <v>11.02</v>
      </c>
      <c r="E43" t="inlineStr">
        <is>
          <t>PCE</t>
        </is>
      </c>
      <c r="F43" t="n">
        <v>0.191</v>
      </c>
    </row>
    <row r="45">
      <c r="A45" s="7" t="inlineStr">
        <is>
          <t>Mozzarella · Escenario propuesto</t>
        </is>
      </c>
    </row>
    <row r="46">
      <c r="A46" s="8" t="inlineStr">
        <is>
          <t>Proceso</t>
        </is>
      </c>
      <c r="B46" s="8" t="inlineStr">
        <is>
          <t>Unidad</t>
        </is>
      </c>
      <c r="C46" s="8" t="inlineStr">
        <is>
          <t>C/T (h)</t>
        </is>
      </c>
      <c r="D46" s="8" t="inlineStr">
        <is>
          <t>Valor agregado (h)</t>
        </is>
      </c>
      <c r="E46" s="8" t="inlineStr">
        <is>
          <t>C/O</t>
        </is>
      </c>
      <c r="F46" s="8" t="inlineStr">
        <is>
          <t>Operarios</t>
        </is>
      </c>
    </row>
    <row r="47">
      <c r="A47" t="inlineStr">
        <is>
          <t>Recepción y HTST</t>
        </is>
      </c>
      <c r="B47" t="inlineStr">
        <is>
          <t>U111–U124</t>
        </is>
      </c>
      <c r="C47" t="n">
        <v>0.25</v>
      </c>
      <c r="D47" t="n">
        <v>0.25</v>
      </c>
      <c r="E47" t="inlineStr">
        <is>
          <t>—</t>
        </is>
      </c>
      <c r="F47" t="n">
        <v>2</v>
      </c>
    </row>
    <row r="48">
      <c r="A48" t="inlineStr">
        <is>
          <t>Coagular y cocer</t>
        </is>
      </c>
      <c r="B48" t="inlineStr">
        <is>
          <t>U221</t>
        </is>
      </c>
      <c r="C48" t="n">
        <v>2.85</v>
      </c>
      <c r="D48" t="n">
        <v>2.85</v>
      </c>
      <c r="E48" t="inlineStr">
        <is>
          <t>0,5 h CIP</t>
        </is>
      </c>
      <c r="F48" t="n">
        <v>1</v>
      </c>
    </row>
    <row r="49">
      <c r="A49" t="inlineStr">
        <is>
          <t>Acidificar cuajada</t>
        </is>
      </c>
      <c r="B49" t="inlineStr">
        <is>
          <t>U222</t>
        </is>
      </c>
      <c r="C49" t="n">
        <v>2.5</v>
      </c>
      <c r="D49" t="n">
        <v>2.5</v>
      </c>
      <c r="E49" t="inlineStr">
        <is>
          <t>—</t>
        </is>
      </c>
      <c r="F49" t="n">
        <v>1</v>
      </c>
    </row>
    <row r="50">
      <c r="A50" t="inlineStr">
        <is>
          <t>Hilar y moldear</t>
        </is>
      </c>
      <c r="B50" t="inlineStr">
        <is>
          <t>U223</t>
        </is>
      </c>
      <c r="C50" t="n">
        <v>0.83</v>
      </c>
      <c r="D50" t="n">
        <v>0.83</v>
      </c>
      <c r="E50" t="inlineStr">
        <is>
          <t>—</t>
        </is>
      </c>
      <c r="F50" t="n">
        <v>2</v>
      </c>
    </row>
    <row r="51">
      <c r="A51" t="inlineStr">
        <is>
          <t>Enfriar y salar</t>
        </is>
      </c>
      <c r="B51" t="inlineStr">
        <is>
          <t>U224</t>
        </is>
      </c>
      <c r="C51" t="n">
        <v>2.5</v>
      </c>
      <c r="D51" t="n">
        <v>2.5</v>
      </c>
      <c r="E51" t="inlineStr">
        <is>
          <t>—</t>
        </is>
      </c>
      <c r="F51" t="n">
        <v>1</v>
      </c>
    </row>
    <row r="52">
      <c r="A52" t="inlineStr">
        <is>
          <t>Empacar</t>
        </is>
      </c>
      <c r="B52" t="inlineStr">
        <is>
          <t>U321/U322</t>
        </is>
      </c>
      <c r="C52" t="n">
        <v>1.51</v>
      </c>
      <c r="D52" t="n">
        <v>1.51</v>
      </c>
      <c r="E52" t="inlineStr">
        <is>
          <t>20 min</t>
        </is>
      </c>
      <c r="F52" t="n">
        <v>2</v>
      </c>
    </row>
    <row r="53">
      <c r="A53" t="inlineStr">
        <is>
          <t>Inventarios (h)</t>
        </is>
      </c>
      <c r="B53" t="inlineStr">
        <is>
          <t>Tanque de crudo: 4.0 · Silo S2: 4.0 · Cuajada en banda: 0.2 · Salmuera: 0.2 · PT 2–4 °C: 24.0</t>
        </is>
      </c>
    </row>
    <row r="54">
      <c r="A54" t="inlineStr">
        <is>
          <t>Lead time (h)</t>
        </is>
      </c>
      <c r="B54" t="n">
        <v>42.94</v>
      </c>
      <c r="C54" t="inlineStr">
        <is>
          <t>Valor agregado (h)</t>
        </is>
      </c>
      <c r="D54" t="n">
        <v>10.44</v>
      </c>
      <c r="E54" t="inlineStr">
        <is>
          <t>PCE</t>
        </is>
      </c>
      <c r="F54" t="n">
        <v>0.243</v>
      </c>
    </row>
    <row r="56">
      <c r="A56" s="7" t="inlineStr">
        <is>
          <t>Kéfir · Escenario propuesto</t>
        </is>
      </c>
    </row>
    <row r="57">
      <c r="A57" s="8" t="inlineStr">
        <is>
          <t>Proceso</t>
        </is>
      </c>
      <c r="B57" s="8" t="inlineStr">
        <is>
          <t>Unidad</t>
        </is>
      </c>
      <c r="C57" s="8" t="inlineStr">
        <is>
          <t>C/T (h)</t>
        </is>
      </c>
      <c r="D57" s="8" t="inlineStr">
        <is>
          <t>Valor agregado (h)</t>
        </is>
      </c>
      <c r="E57" s="8" t="inlineStr">
        <is>
          <t>C/O</t>
        </is>
      </c>
      <c r="F57" s="8" t="inlineStr">
        <is>
          <t>Operarios</t>
        </is>
      </c>
    </row>
    <row r="58">
      <c r="A58" t="inlineStr">
        <is>
          <t>Recepción y HTST</t>
        </is>
      </c>
      <c r="B58" t="inlineStr">
        <is>
          <t>U111–U125</t>
        </is>
      </c>
      <c r="C58" t="n">
        <v>0.25</v>
      </c>
      <c r="D58" t="n">
        <v>0.25</v>
      </c>
      <c r="E58" t="inlineStr">
        <is>
          <t>—</t>
        </is>
      </c>
      <c r="F58" t="n">
        <v>2</v>
      </c>
    </row>
    <row r="59">
      <c r="A59" t="inlineStr">
        <is>
          <t>Homog. + past. 90–95 °C</t>
        </is>
      </c>
      <c r="B59" t="inlineStr">
        <is>
          <t>U202</t>
        </is>
      </c>
      <c r="C59" t="n">
        <v>0.75</v>
      </c>
      <c r="D59" t="n">
        <v>0.5</v>
      </c>
      <c r="E59" t="inlineStr">
        <is>
          <t>0,75 h</t>
        </is>
      </c>
      <c r="F59" t="n">
        <v>1</v>
      </c>
    </row>
    <row r="60">
      <c r="A60" t="inlineStr">
        <is>
          <t>Inocular y fermentar</t>
        </is>
      </c>
      <c r="B60" t="inlineStr">
        <is>
          <t>U231–3 · U235</t>
        </is>
      </c>
      <c r="C60" t="n">
        <v>20.58</v>
      </c>
      <c r="D60" t="n">
        <v>20.58</v>
      </c>
      <c r="E60" t="inlineStr">
        <is>
          <t>1 h CIP</t>
        </is>
      </c>
      <c r="F60" t="n">
        <v>1</v>
      </c>
    </row>
    <row r="61">
      <c r="A61" t="inlineStr">
        <is>
          <t>Enfriar</t>
        </is>
      </c>
      <c r="B61" t="inlineStr">
        <is>
          <t>fermentador</t>
        </is>
      </c>
      <c r="C61" t="n">
        <v>1</v>
      </c>
      <c r="D61" t="n">
        <v>0.5</v>
      </c>
      <c r="E61" t="inlineStr">
        <is>
          <t>—</t>
        </is>
      </c>
      <c r="F61" t="n">
        <v>1</v>
      </c>
    </row>
    <row r="62">
      <c r="A62" t="inlineStr">
        <is>
          <t>Envasar</t>
        </is>
      </c>
      <c r="B62" t="inlineStr">
        <is>
          <t>U331</t>
        </is>
      </c>
      <c r="C62" t="n">
        <v>2.81</v>
      </c>
      <c r="D62" t="n">
        <v>2.81</v>
      </c>
      <c r="E62" t="inlineStr">
        <is>
          <t>20 min</t>
        </is>
      </c>
      <c r="F62" t="n">
        <v>2</v>
      </c>
    </row>
    <row r="63">
      <c r="A63" t="inlineStr">
        <is>
          <t>Madurar en envase</t>
        </is>
      </c>
      <c r="B63" t="inlineStr">
        <is>
          <t>cámara</t>
        </is>
      </c>
      <c r="C63" t="n">
        <v>12</v>
      </c>
      <c r="D63" t="n">
        <v>12</v>
      </c>
      <c r="E63" t="inlineStr">
        <is>
          <t>—</t>
        </is>
      </c>
      <c r="F63" t="n">
        <v>0</v>
      </c>
    </row>
    <row r="64">
      <c r="A64" t="inlineStr">
        <is>
          <t>Inventarios (h)</t>
        </is>
      </c>
      <c r="B64" t="inlineStr">
        <is>
          <t>Tanque de crudo: 4.0 · Silo S3: 4.0 · Cola U202: 0.2 · Pulmón de llenado: 1.4 · PT 2–4 °C: 24.0</t>
        </is>
      </c>
    </row>
    <row r="65">
      <c r="A65" t="inlineStr">
        <is>
          <t>Lead time (h)</t>
        </is>
      </c>
      <c r="B65" t="n">
        <v>71.04000000000001</v>
      </c>
      <c r="C65" t="inlineStr">
        <is>
          <t>Valor agregado (h)</t>
        </is>
      </c>
      <c r="D65" t="n">
        <v>36.64</v>
      </c>
      <c r="E65" t="inlineStr">
        <is>
          <t>PCE</t>
        </is>
      </c>
      <c r="F65" t="n">
        <v>0.516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46" customWidth="1" min="4" max="4"/>
    <col width="24" customWidth="1" min="5" max="5"/>
    <col width="28" customWidth="1" min="6" max="6"/>
    <col width="10" customWidth="1" min="7" max="7"/>
  </cols>
  <sheetData>
    <row r="1">
      <c r="A1" s="1" t="inlineStr">
        <is>
          <t>Datos para construir el modelo en Plant Simulation</t>
        </is>
      </c>
    </row>
    <row r="3">
      <c r="A3" s="3" t="inlineStr">
        <is>
          <t>Escenario</t>
        </is>
      </c>
      <c r="B3" s="3" t="inlineStr">
        <is>
          <t>Objeto</t>
        </is>
      </c>
      <c r="C3" s="3" t="inlineStr">
        <is>
          <t>Tipo Plant Simulation</t>
        </is>
      </c>
      <c r="D3" s="3" t="inlineStr">
        <is>
          <t>Tiempo de proceso</t>
        </is>
      </c>
      <c r="E3" s="3" t="inlineStr">
        <is>
          <t>Preparación</t>
        </is>
      </c>
      <c r="F3" s="3" t="inlineStr">
        <is>
          <t>Fallas</t>
        </is>
      </c>
      <c r="G3" s="3" t="inlineStr">
        <is>
          <t>Capacidad</t>
        </is>
      </c>
    </row>
    <row r="4">
      <c r="A4" s="4" t="inlineStr">
        <is>
          <t>Escenario base (antes de la propuesta)</t>
        </is>
      </c>
      <c r="B4" s="4" t="inlineStr">
        <is>
          <t>Cisternas</t>
        </is>
      </c>
      <c r="C4" s="4" t="inlineStr">
        <is>
          <t>Source</t>
        </is>
      </c>
      <c r="D4" s="4" t="inlineStr">
        <is>
          <t>Intervalo 2,4 h · 10.000 L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</row>
    <row r="5">
      <c r="A5" s="4" t="inlineStr"/>
      <c r="B5" s="4" t="inlineStr">
        <is>
          <t>HTST U122</t>
        </is>
      </c>
      <c r="C5" s="4" t="inlineStr">
        <is>
          <t>SingleProc</t>
        </is>
      </c>
      <c r="D5" s="4" t="inlineStr">
        <is>
          <t>20.000 L/h</t>
        </is>
      </c>
      <c r="E5" s="4" t="inlineStr">
        <is>
          <t>arranque 0,5 h</t>
        </is>
      </c>
      <c r="F5" s="4" t="inlineStr">
        <is>
          <t>—</t>
        </is>
      </c>
      <c r="G5" s="4" t="n">
        <v>1</v>
      </c>
    </row>
    <row r="6">
      <c r="A6" s="4" t="inlineStr"/>
      <c r="B6" s="4" t="inlineStr">
        <is>
          <t>Formulación U201</t>
        </is>
      </c>
      <c r="C6" s="4" t="inlineStr">
        <is>
          <t>SingleProc</t>
        </is>
      </c>
      <c r="D6" s="4" t="inlineStr">
        <is>
          <t>1,1 h + 1,0 h alimentando U202</t>
        </is>
      </c>
      <c r="E6" s="4" t="inlineStr">
        <is>
          <t>CIP 0,5 h</t>
        </is>
      </c>
      <c r="F6" s="4" t="inlineStr">
        <is>
          <t>—</t>
        </is>
      </c>
      <c r="G6" s="4" t="n">
        <v>1</v>
      </c>
    </row>
    <row r="7">
      <c r="A7" s="4" t="inlineStr"/>
      <c r="B7" s="4" t="inlineStr">
        <is>
          <t>Base U202</t>
        </is>
      </c>
      <c r="C7" s="4" t="inlineStr">
        <is>
          <t>SingleProc (compartido)</t>
        </is>
      </c>
      <c r="D7" s="4" t="inlineStr">
        <is>
          <t>yogur 1,25 h · kéfir 0,75 h</t>
        </is>
      </c>
      <c r="E7" s="4" t="inlineStr">
        <is>
          <t>cambio 0,75 h × 4/día</t>
        </is>
      </c>
      <c r="F7" s="4" t="inlineStr">
        <is>
          <t>—</t>
        </is>
      </c>
      <c r="G7" s="4" t="n">
        <v>1</v>
      </c>
    </row>
    <row r="8">
      <c r="A8" s="4" t="inlineStr"/>
      <c r="B8" s="4" t="inlineStr">
        <is>
          <t>Fermentadores yogur</t>
        </is>
      </c>
      <c r="C8" s="4" t="inlineStr">
        <is>
          <t>ParallelProc</t>
        </is>
      </c>
      <c r="D8" s="4" t="inlineStr">
        <is>
          <t>incubación 7.0 h + 2.75 h</t>
        </is>
      </c>
      <c r="E8" s="4" t="inlineStr">
        <is>
          <t>CIP 1.0 h</t>
        </is>
      </c>
      <c r="F8" s="4" t="inlineStr">
        <is>
          <t>—</t>
        </is>
      </c>
      <c r="G8" s="4" t="n">
        <v>3</v>
      </c>
    </row>
    <row r="9">
      <c r="A9" s="4" t="inlineStr"/>
      <c r="B9" s="4" t="inlineStr">
        <is>
          <t>Pulmones yogur</t>
        </is>
      </c>
      <c r="C9" s="4" t="inlineStr">
        <is>
          <t>Buffer</t>
        </is>
      </c>
      <c r="D9" s="4" t="inlineStr">
        <is>
          <t>llenar, liberar 0.5 h y vaciar</t>
        </is>
      </c>
      <c r="E9" s="4" t="inlineStr">
        <is>
          <t>—</t>
        </is>
      </c>
      <c r="F9" s="4" t="inlineStr">
        <is>
          <t>—</t>
        </is>
      </c>
      <c r="G9" s="4" t="n">
        <v>1</v>
      </c>
    </row>
    <row r="10">
      <c r="A10" s="4" t="inlineStr"/>
      <c r="B10" s="4" t="inlineStr">
        <is>
          <t>Llenadora U311</t>
        </is>
      </c>
      <c r="C10" s="4" t="inlineStr">
        <is>
          <t>SingleProc</t>
        </is>
      </c>
      <c r="D10" s="4" t="inlineStr">
        <is>
          <t>0.353 s/vaso</t>
        </is>
      </c>
      <c r="E10" s="4" t="inlineStr">
        <is>
          <t>—</t>
        </is>
      </c>
      <c r="F10" s="4" t="inlineStr">
        <is>
          <t>MTBF 40.0 h · MTTR 1.0 h</t>
        </is>
      </c>
      <c r="G10" s="4" t="n">
        <v>1</v>
      </c>
    </row>
    <row r="11">
      <c r="A11" s="4" t="inlineStr"/>
      <c r="B11" s="4" t="inlineStr">
        <is>
          <t>Llenadora U312</t>
        </is>
      </c>
      <c r="C11" s="4" t="inlineStr">
        <is>
          <t>SingleProc</t>
        </is>
      </c>
      <c r="D11" s="4" t="inlineStr">
        <is>
          <t>1.06 s (YF1000) · 1.69 s (YF1750)</t>
        </is>
      </c>
      <c r="E11" s="4" t="inlineStr">
        <is>
          <t>formato 45 min</t>
        </is>
      </c>
      <c r="F11" s="4" t="inlineStr">
        <is>
          <t>MTBF 40.0 h · MTTR 1.0 h</t>
        </is>
      </c>
      <c r="G11" s="4" t="n">
        <v>1</v>
      </c>
    </row>
    <row r="12">
      <c r="A12" s="4" t="inlineStr"/>
      <c r="B12" s="4" t="inlineStr">
        <is>
          <t>Fermentadores kéfir</t>
        </is>
      </c>
      <c r="C12" s="4" t="inlineStr">
        <is>
          <t>ParallelProc</t>
        </is>
      </c>
      <c r="D12" s="4" t="inlineStr">
        <is>
          <t>fermentación 24.0 h + 2.33 h</t>
        </is>
      </c>
      <c r="E12" s="4" t="inlineStr">
        <is>
          <t>CIP 0,75–1 h</t>
        </is>
      </c>
      <c r="F12" s="4" t="inlineStr">
        <is>
          <t>—</t>
        </is>
      </c>
      <c r="G12" s="4" t="n">
        <v>3</v>
      </c>
    </row>
    <row r="13">
      <c r="A13" s="4" t="inlineStr"/>
      <c r="B13" s="4" t="inlineStr">
        <is>
          <t>Maduración kéfir</t>
        </is>
      </c>
      <c r="C13" s="4" t="inlineStr">
        <is>
          <t>Buffer/ParallelProc</t>
        </is>
      </c>
      <c r="D13" s="4" t="inlineStr">
        <is>
          <t>24.0 h en tanque</t>
        </is>
      </c>
      <c r="E13" s="4" t="inlineStr">
        <is>
          <t>—</t>
        </is>
      </c>
      <c r="F13" s="4" t="inlineStr">
        <is>
          <t>—</t>
        </is>
      </c>
      <c r="G13" s="4" t="n">
        <v>3</v>
      </c>
    </row>
    <row r="14">
      <c r="A14" s="4" t="inlineStr"/>
      <c r="B14" s="4" t="inlineStr">
        <is>
          <t>Turnos</t>
        </is>
      </c>
      <c r="C14" s="4" t="inlineStr">
        <is>
          <t>ShiftCalendar</t>
        </is>
      </c>
      <c r="D14" s="4" t="inlineStr">
        <is>
          <t>3 × 8 h · lunes a sábado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</row>
    <row r="15">
      <c r="A15" s="4" t="inlineStr">
        <is>
          <t>Escenario propuesto</t>
        </is>
      </c>
      <c r="B15" s="4" t="inlineStr">
        <is>
          <t>Cisternas</t>
        </is>
      </c>
      <c r="C15" s="4" t="inlineStr">
        <is>
          <t>Source</t>
        </is>
      </c>
      <c r="D15" s="4" t="inlineStr">
        <is>
          <t>Intervalo 2,4 h · 10.000 L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</row>
    <row r="16">
      <c r="A16" s="4" t="inlineStr"/>
      <c r="B16" s="4" t="inlineStr">
        <is>
          <t>HTST U122</t>
        </is>
      </c>
      <c r="C16" s="4" t="inlineStr">
        <is>
          <t>SingleProc</t>
        </is>
      </c>
      <c r="D16" s="4" t="inlineStr">
        <is>
          <t>20.000 L/h</t>
        </is>
      </c>
      <c r="E16" s="4" t="inlineStr">
        <is>
          <t>arranque 0,5 h</t>
        </is>
      </c>
      <c r="F16" s="4" t="inlineStr">
        <is>
          <t>—</t>
        </is>
      </c>
      <c r="G16" s="4" t="n">
        <v>1</v>
      </c>
    </row>
    <row r="17">
      <c r="A17" s="4" t="inlineStr"/>
      <c r="B17" s="4" t="inlineStr">
        <is>
          <t>Formulación U201</t>
        </is>
      </c>
      <c r="C17" s="4" t="inlineStr">
        <is>
          <t>SingleProc</t>
        </is>
      </c>
      <c r="D17" s="4" t="inlineStr">
        <is>
          <t>1,1 h + 1,0 h alimentando U202</t>
        </is>
      </c>
      <c r="E17" s="4" t="inlineStr">
        <is>
          <t>CIP 0,5 h</t>
        </is>
      </c>
      <c r="F17" s="4" t="inlineStr">
        <is>
          <t>—</t>
        </is>
      </c>
      <c r="G17" s="4" t="n">
        <v>1</v>
      </c>
    </row>
    <row r="18">
      <c r="A18" s="4" t="inlineStr"/>
      <c r="B18" s="4" t="inlineStr">
        <is>
          <t>Base U202</t>
        </is>
      </c>
      <c r="C18" s="4" t="inlineStr">
        <is>
          <t>SingleProc (compartido)</t>
        </is>
      </c>
      <c r="D18" s="4" t="inlineStr">
        <is>
          <t>yogur 1,25 h · kéfir 0,75 h</t>
        </is>
      </c>
      <c r="E18" s="4" t="inlineStr">
        <is>
          <t>cambio 0,75 h × 1/día</t>
        </is>
      </c>
      <c r="F18" s="4" t="inlineStr">
        <is>
          <t>—</t>
        </is>
      </c>
      <c r="G18" s="4" t="n">
        <v>1</v>
      </c>
    </row>
    <row r="19">
      <c r="A19" s="4" t="inlineStr"/>
      <c r="B19" s="4" t="inlineStr">
        <is>
          <t>Fermentadores yogur</t>
        </is>
      </c>
      <c r="C19" s="4" t="inlineStr">
        <is>
          <t>ParallelProc</t>
        </is>
      </c>
      <c r="D19" s="4" t="inlineStr">
        <is>
          <t>incubación 5.0 h + 2.50 h</t>
        </is>
      </c>
      <c r="E19" s="4" t="inlineStr">
        <is>
          <t>CIP 0.75 h</t>
        </is>
      </c>
      <c r="F19" s="4" t="inlineStr">
        <is>
          <t>—</t>
        </is>
      </c>
      <c r="G19" s="4" t="n">
        <v>3</v>
      </c>
    </row>
    <row r="20">
      <c r="A20" s="4" t="inlineStr"/>
      <c r="B20" s="4" t="inlineStr">
        <is>
          <t>Pulmones yogur</t>
        </is>
      </c>
      <c r="C20" s="4" t="inlineStr">
        <is>
          <t>Buffer</t>
        </is>
      </c>
      <c r="D20" s="4" t="inlineStr">
        <is>
          <t>llenado simultáneo</t>
        </is>
      </c>
      <c r="E20" s="4" t="inlineStr">
        <is>
          <t>—</t>
        </is>
      </c>
      <c r="F20" s="4" t="inlineStr">
        <is>
          <t>—</t>
        </is>
      </c>
      <c r="G20" s="4" t="n">
        <v>2</v>
      </c>
    </row>
    <row r="21">
      <c r="A21" s="4" t="inlineStr"/>
      <c r="B21" s="4" t="inlineStr">
        <is>
          <t>Llenadora U311</t>
        </is>
      </c>
      <c r="C21" s="4" t="inlineStr">
        <is>
          <t>SingleProc</t>
        </is>
      </c>
      <c r="D21" s="4" t="inlineStr">
        <is>
          <t>0.326 s/vaso</t>
        </is>
      </c>
      <c r="E21" s="4" t="inlineStr">
        <is>
          <t>—</t>
        </is>
      </c>
      <c r="F21" s="4" t="inlineStr">
        <is>
          <t>MTBF 60.0 h · MTTR 0.75 h</t>
        </is>
      </c>
      <c r="G21" s="4" t="n">
        <v>1</v>
      </c>
    </row>
    <row r="22">
      <c r="A22" s="4" t="inlineStr"/>
      <c r="B22" s="4" t="inlineStr">
        <is>
          <t>Llenadora U312</t>
        </is>
      </c>
      <c r="C22" s="4" t="inlineStr">
        <is>
          <t>SingleProc</t>
        </is>
      </c>
      <c r="D22" s="4" t="inlineStr">
        <is>
          <t>0.98 s (YF1000) · 1.57 s (YF1750)</t>
        </is>
      </c>
      <c r="E22" s="4" t="inlineStr">
        <is>
          <t>formato 20 min</t>
        </is>
      </c>
      <c r="F22" s="4" t="inlineStr">
        <is>
          <t>MTBF 60.0 h · MTTR 0.75 h</t>
        </is>
      </c>
      <c r="G22" s="4" t="n">
        <v>1</v>
      </c>
    </row>
    <row r="23">
      <c r="A23" s="4" t="inlineStr"/>
      <c r="B23" s="4" t="inlineStr">
        <is>
          <t>Fermentadores kéfir</t>
        </is>
      </c>
      <c r="C23" s="4" t="inlineStr">
        <is>
          <t>ParallelProc</t>
        </is>
      </c>
      <c r="D23" s="4" t="inlineStr">
        <is>
          <t>fermentación 20.0 h + 2.08 h</t>
        </is>
      </c>
      <c r="E23" s="4" t="inlineStr">
        <is>
          <t>CIP 0,75–1 h</t>
        </is>
      </c>
      <c r="F23" s="4" t="inlineStr">
        <is>
          <t>—</t>
        </is>
      </c>
      <c r="G23" s="4" t="n">
        <v>4</v>
      </c>
    </row>
    <row r="24">
      <c r="A24" s="4" t="inlineStr"/>
      <c r="B24" s="4" t="inlineStr">
        <is>
          <t>Maduración kéfir</t>
        </is>
      </c>
      <c r="C24" s="4" t="inlineStr">
        <is>
          <t>Buffer/ParallelProc</t>
        </is>
      </c>
      <c r="D24" s="4" t="inlineStr">
        <is>
          <t>12.0 h en envase (cámara)</t>
        </is>
      </c>
      <c r="E24" s="4" t="inlineStr">
        <is>
          <t>—</t>
        </is>
      </c>
      <c r="F24" s="4" t="inlineStr">
        <is>
          <t>—</t>
        </is>
      </c>
      <c r="G24" s="4" t="n">
        <v>2</v>
      </c>
    </row>
    <row r="25">
      <c r="A25" s="4" t="inlineStr"/>
      <c r="B25" s="4" t="inlineStr">
        <is>
          <t>Turnos</t>
        </is>
      </c>
      <c r="C25" s="4" t="inlineStr">
        <is>
          <t>ShiftCalendar</t>
        </is>
      </c>
      <c r="D25" s="4" t="inlineStr">
        <is>
          <t>3 × 8 h · lunes a sábado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Evaluación económica (completar celdas azules con cotizaciones y datos del equipo)</t>
        </is>
      </c>
    </row>
    <row r="3">
      <c r="A3" s="13" t="inlineStr">
        <is>
          <t>Inversión (CAPEX)</t>
        </is>
      </c>
    </row>
    <row r="4">
      <c r="A4" t="inlineStr">
        <is>
          <t>pH en línea en 7 fermentadores y banda</t>
        </is>
      </c>
      <c r="B4" s="9" t="n"/>
    </row>
    <row r="5">
      <c r="A5" t="inlineStr">
        <is>
          <t>MES: recetas, lotes y trazabilidad</t>
        </is>
      </c>
      <c r="B5" s="9" t="n"/>
    </row>
    <row r="6">
      <c r="A6" t="inlineStr">
        <is>
          <t>Segundo tanque pulmón U215 con dosificación de fruta</t>
        </is>
      </c>
      <c r="B6" s="9" t="n"/>
    </row>
    <row r="7">
      <c r="A7" t="inlineStr">
        <is>
          <t>Reconversión de tanque en fermentador de kéfir U235</t>
        </is>
      </c>
      <c r="B7" s="9" t="n"/>
    </row>
    <row r="8">
      <c r="A8" t="inlineStr">
        <is>
          <t>Kits SMED y recetas en envasadoras</t>
        </is>
      </c>
      <c r="B8" s="9" t="n"/>
    </row>
    <row r="9">
      <c r="A9" t="inlineStr">
        <is>
          <t>Programa TPM y capacitación</t>
        </is>
      </c>
      <c r="B9" s="9" t="n"/>
    </row>
    <row r="10">
      <c r="A10" s="13" t="inlineStr">
        <is>
          <t>Inversión total I₀</t>
        </is>
      </c>
      <c r="B10">
        <f>SUM(B4:B9)</f>
        <v/>
      </c>
    </row>
    <row r="12">
      <c r="A12" t="inlineStr">
        <is>
          <t>Δ kg de yogur por año (calculado)</t>
        </is>
      </c>
      <c r="B12" t="n">
        <v>4295524</v>
      </c>
    </row>
    <row r="13">
      <c r="A13" t="inlineStr">
        <is>
          <t>Δ kg de kéfir por año (calculado)</t>
        </is>
      </c>
      <c r="B13" t="n">
        <v>709582</v>
      </c>
    </row>
    <row r="14">
      <c r="A14" t="inlineStr">
        <is>
          <t>Horas de CIP ahorradas por año (calculado)</t>
        </is>
      </c>
      <c r="B14" t="n">
        <v>1950</v>
      </c>
    </row>
    <row r="15">
      <c r="A15" t="inlineStr">
        <is>
          <t>Margen yogur ($/kg)</t>
        </is>
      </c>
      <c r="B15" s="9" t="n"/>
    </row>
    <row r="16">
      <c r="A16" t="inlineStr">
        <is>
          <t>Margen kéfir ($/kg)</t>
        </is>
      </c>
      <c r="B16" s="9" t="n"/>
    </row>
    <row r="17">
      <c r="A17" t="inlineStr">
        <is>
          <t>Costo por hora de CIP ($/h)</t>
        </is>
      </c>
      <c r="B17" s="9" t="n"/>
    </row>
    <row r="18">
      <c r="A18" t="inlineStr">
        <is>
          <t>OPEX adicional por año (relevos, mantenimiento)</t>
        </is>
      </c>
      <c r="B18" s="9" t="n"/>
    </row>
    <row r="19">
      <c r="A19" t="inlineStr">
        <is>
          <t>Tasa de descuento</t>
        </is>
      </c>
      <c r="B19" s="14" t="n">
        <v>0.12</v>
      </c>
    </row>
    <row r="21">
      <c r="A21" s="13" t="inlineStr">
        <is>
          <t>Flujo de caja anual FC</t>
        </is>
      </c>
      <c r="B21">
        <f>B12*B15+B13*B16+B14*B17-B18</f>
        <v/>
      </c>
    </row>
    <row r="23">
      <c r="A23" t="inlineStr">
        <is>
          <t>Año</t>
        </is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</row>
    <row r="24">
      <c r="A24" t="inlineStr">
        <is>
          <t>Flujo</t>
        </is>
      </c>
      <c r="B24">
        <f>-B10</f>
        <v/>
      </c>
      <c r="C24">
        <f>$B$21</f>
        <v/>
      </c>
      <c r="D24">
        <f>$B$21</f>
        <v/>
      </c>
      <c r="E24">
        <f>$B$21</f>
        <v/>
      </c>
      <c r="F24">
        <f>$B$21</f>
        <v/>
      </c>
      <c r="G24">
        <f>$B$21</f>
        <v/>
      </c>
    </row>
    <row r="26">
      <c r="A26" s="13" t="inlineStr">
        <is>
          <t>VPN (5 años)</t>
        </is>
      </c>
      <c r="B26">
        <f>B24+NPV(B19,C24:G24)</f>
        <v/>
      </c>
    </row>
    <row r="27">
      <c r="A27" s="13" t="inlineStr">
        <is>
          <t>TIR</t>
        </is>
      </c>
      <c r="B27" s="15">
        <f>IFERROR(IRR(B24:G24),"—")</f>
        <v/>
      </c>
    </row>
    <row r="28">
      <c r="A28" s="13" t="inlineStr">
        <is>
          <t>Payback simple (años)</t>
        </is>
      </c>
      <c r="B28">
        <f>IFERROR(B10/B21,"—")</f>
        <v/>
      </c>
    </row>
    <row r="30">
      <c r="A30" t="inlineStr">
        <is>
          <t>La tasa de descuento de 12 % es un valor inicial para editar; el beneficio supone que el mercado absorbe la producción adicional.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Cronograma por paquete de trabajo (fecha de corte 04/10/2026)</t>
        </is>
      </c>
    </row>
    <row r="3">
      <c r="A3" s="3" t="inlineStr">
        <is>
          <t>EDT</t>
        </is>
      </c>
      <c r="B3" s="3" t="inlineStr">
        <is>
          <t>Paquete de trabajo</t>
        </is>
      </c>
      <c r="C3" s="3" t="inlineStr">
        <is>
          <t>Semana inicio</t>
        </is>
      </c>
      <c r="D3" s="3" t="inlineStr">
        <is>
          <t>Semana fin</t>
        </is>
      </c>
      <c r="E3" s="3" t="inlineStr">
        <is>
          <t>Inicio</t>
        </is>
      </c>
      <c r="F3" s="3" t="inlineStr">
        <is>
          <t>Fin</t>
        </is>
      </c>
      <c r="G3" s="3" t="inlineStr">
        <is>
          <t>Entregables</t>
        </is>
      </c>
    </row>
    <row r="4">
      <c r="A4" s="4" t="inlineStr">
        <is>
          <t>1</t>
        </is>
      </c>
      <c r="B4" s="4" t="inlineStr">
        <is>
          <t>Gestión del proyecto</t>
        </is>
      </c>
      <c r="C4" s="4" t="inlineStr">
        <is>
          <t>S1</t>
        </is>
      </c>
      <c r="D4" s="4" t="inlineStr">
        <is>
          <t>S12</t>
        </is>
      </c>
      <c r="E4" s="4" t="inlineStr">
        <is>
          <t>2026-08-31</t>
        </is>
      </c>
      <c r="F4" s="4" t="inlineStr">
        <is>
          <t>2026-11-20</t>
        </is>
      </c>
      <c r="G4" s="4" t="inlineStr">
        <is>
          <t>Organización, roles y RACI · Cronograma y seguimiento · Riesgos · Informes y control de cambios</t>
        </is>
      </c>
    </row>
    <row r="5">
      <c r="A5" s="4" t="inlineStr">
        <is>
          <t>2</t>
        </is>
      </c>
      <c r="B5" s="4" t="inlineStr">
        <is>
          <t>Caracterización y diagnóstico</t>
        </is>
      </c>
      <c r="C5" s="4" t="inlineStr">
        <is>
          <t>S2</t>
        </is>
      </c>
      <c r="D5" s="4" t="inlineStr">
        <is>
          <t>S5</t>
        </is>
      </c>
      <c r="E5" s="4" t="inlineStr">
        <is>
          <t>2026-09-07</t>
        </is>
      </c>
      <c r="F5" s="4" t="inlineStr">
        <is>
          <t>2026-10-02</t>
        </is>
      </c>
      <c r="G5" s="4" t="inlineStr">
        <is>
          <t>Estado del arte (Alpina Sopó) · Tipología del proceso · Trazabilidad · Escenario base y mejoras</t>
        </is>
      </c>
    </row>
    <row r="6">
      <c r="A6" s="4" t="inlineStr">
        <is>
          <t>3</t>
        </is>
      </c>
      <c r="B6" s="4" t="inlineStr">
        <is>
          <t>Diseño del proceso integrado</t>
        </is>
      </c>
      <c r="C6" s="4" t="inlineStr">
        <is>
          <t>S4</t>
        </is>
      </c>
      <c r="D6" s="4" t="inlineStr">
        <is>
          <t>S6</t>
        </is>
      </c>
      <c r="E6" s="4" t="inlineStr">
        <is>
          <t>2026-09-21</t>
        </is>
      </c>
      <c r="F6" s="4" t="inlineStr">
        <is>
          <t>2026-10-09</t>
        </is>
      </c>
      <c r="G6" s="4" t="inlineStr">
        <is>
          <t>Diagramas de proceso · Referencias y líneas · Recetas · Recursos compartidos</t>
        </is>
      </c>
    </row>
    <row r="7">
      <c r="A7" s="4" t="inlineStr">
        <is>
          <t>4</t>
        </is>
      </c>
      <c r="B7" s="4" t="inlineStr">
        <is>
          <t>Modelo ISA-88</t>
        </is>
      </c>
      <c r="C7" s="4" t="inlineStr">
        <is>
          <t>S4</t>
        </is>
      </c>
      <c r="D7" s="4" t="inlineStr">
        <is>
          <t>S7</t>
        </is>
      </c>
      <c r="E7" s="4" t="inlineStr">
        <is>
          <t>2026-09-21</t>
        </is>
      </c>
      <c r="F7" s="4" t="inlineStr">
        <is>
          <t>2026-10-16</t>
        </is>
      </c>
      <c r="G7" s="4" t="inlineStr">
        <is>
          <t>Modelo físico · Modelo procedimental · Recetas maestras · Estados y modos</t>
        </is>
      </c>
    </row>
    <row r="8">
      <c r="A8" s="4" t="inlineStr">
        <is>
          <t>5</t>
        </is>
      </c>
      <c r="B8" s="4" t="inlineStr">
        <is>
          <t>Instrumentación y P&amp;ID</t>
        </is>
      </c>
      <c r="C8" s="4" t="inlineStr">
        <is>
          <t>S5</t>
        </is>
      </c>
      <c r="D8" s="4" t="inlineStr">
        <is>
          <t>S7</t>
        </is>
      </c>
      <c r="E8" s="4" t="inlineStr">
        <is>
          <t>2026-09-28</t>
        </is>
      </c>
      <c r="F8" s="4" t="inlineStr">
        <is>
          <t>2026-10-16</t>
        </is>
      </c>
      <c r="G8" s="4" t="inlineStr">
        <is>
          <t>Sensores y actuadores · Diagramas P&amp;ID · Señales · Selección de máquinas</t>
        </is>
      </c>
    </row>
    <row r="9">
      <c r="A9" s="4" t="inlineStr">
        <is>
          <t>6</t>
        </is>
      </c>
      <c r="B9" s="4" t="inlineStr">
        <is>
          <t>Arquitectura ISA-95</t>
        </is>
      </c>
      <c r="C9" s="4" t="inlineStr">
        <is>
          <t>S6</t>
        </is>
      </c>
      <c r="D9" s="4" t="inlineStr">
        <is>
          <t>S9</t>
        </is>
      </c>
      <c r="E9" s="4" t="inlineStr">
        <is>
          <t>2026-10-05</t>
        </is>
      </c>
      <c r="F9" s="4" t="inlineStr">
        <is>
          <t>2026-10-30</t>
        </is>
      </c>
      <c r="G9" s="4" t="inlineStr">
        <is>
          <t>Niveles 0 a 4 · Comunicaciones · MES y ERP · Interfaces B2MML</t>
        </is>
      </c>
    </row>
    <row r="10">
      <c r="A10" s="4" t="inlineStr">
        <is>
          <t>7</t>
        </is>
      </c>
      <c r="B10" s="4" t="inlineStr">
        <is>
          <t>Controladores</t>
        </is>
      </c>
      <c r="C10" s="4" t="inlineStr">
        <is>
          <t>S7</t>
        </is>
      </c>
      <c r="D10" s="4" t="inlineStr">
        <is>
          <t>S10</t>
        </is>
      </c>
      <c r="E10" s="4" t="inlineStr">
        <is>
          <t>2026-10-12</t>
        </is>
      </c>
      <c r="F10" s="4" t="inlineStr">
        <is>
          <t>2026-11-06</t>
        </is>
      </c>
      <c r="G10" s="4" t="inlineStr">
        <is>
          <t>Grafcet por línea y planta · Ladder · Gestión de recetas · Logix Emulate</t>
        </is>
      </c>
    </row>
    <row r="11">
      <c r="A11" s="4" t="inlineStr">
        <is>
          <t>8</t>
        </is>
      </c>
      <c r="B11" s="4" t="inlineStr">
        <is>
          <t>SCADA y HMI</t>
        </is>
      </c>
      <c r="C11" s="4" t="inlineStr">
        <is>
          <t>S8</t>
        </is>
      </c>
      <c r="D11" s="4" t="inlineStr">
        <is>
          <t>S10</t>
        </is>
      </c>
      <c r="E11" s="4" t="inlineStr">
        <is>
          <t>2026-10-19</t>
        </is>
      </c>
      <c r="F11" s="4" t="inlineStr">
        <is>
          <t>2026-11-06</t>
        </is>
      </c>
      <c r="G11" s="4" t="inlineStr">
        <is>
          <t>Pantallas general y por línea · Alarmas · Históricos · Comunicación con PLC</t>
        </is>
      </c>
    </row>
    <row r="12">
      <c r="A12" s="4" t="inlineStr">
        <is>
          <t>9</t>
        </is>
      </c>
      <c r="B12" s="4" t="inlineStr">
        <is>
          <t>Celda robotizada</t>
        </is>
      </c>
      <c r="C12" s="4" t="inlineStr">
        <is>
          <t>S8</t>
        </is>
      </c>
      <c r="D12" s="4" t="inlineStr">
        <is>
          <t>S11</t>
        </is>
      </c>
      <c r="E12" s="4" t="inlineStr">
        <is>
          <t>2026-10-19</t>
        </is>
      </c>
      <c r="F12" s="4" t="inlineStr">
        <is>
          <t>2026-11-13</t>
        </is>
      </c>
      <c r="G12" s="4" t="inlineStr">
        <is>
          <t>Justificación · Diseño de la celda · Secuencia y seguridad · RobotStudio</t>
        </is>
      </c>
    </row>
    <row r="13">
      <c r="A13" s="4" t="inlineStr">
        <is>
          <t>10</t>
        </is>
      </c>
      <c r="B13" s="4" t="inlineStr">
        <is>
          <t>Gemelo digital</t>
        </is>
      </c>
      <c r="C13" s="4" t="inlineStr">
        <is>
          <t>S9</t>
        </is>
      </c>
      <c r="D13" s="4" t="inlineStr">
        <is>
          <t>S11</t>
        </is>
      </c>
      <c r="E13" s="4" t="inlineStr">
        <is>
          <t>2026-10-26</t>
        </is>
      </c>
      <c r="F13" s="4" t="inlineStr">
        <is>
          <t>2026-11-13</t>
        </is>
      </c>
      <c r="G13" s="4" t="inlineStr">
        <is>
          <t>Línea a simular · Modelo virtual · Variables y actuadores · Pruebas con Logix Emulate</t>
        </is>
      </c>
    </row>
    <row r="14">
      <c r="A14" s="4" t="inlineStr">
        <is>
          <t>11</t>
        </is>
      </c>
      <c r="B14" s="4" t="inlineStr">
        <is>
          <t>Gestión de la producción</t>
        </is>
      </c>
      <c r="C14" s="4" t="inlineStr">
        <is>
          <t>S5</t>
        </is>
      </c>
      <c r="D14" s="4" t="inlineStr">
        <is>
          <t>S9</t>
        </is>
      </c>
      <c r="E14" s="4" t="inlineStr">
        <is>
          <t>2026-09-28</t>
        </is>
      </c>
      <c r="F14" s="4" t="inlineStr">
        <is>
          <t>2026-10-30</t>
        </is>
      </c>
      <c r="G14" s="4" t="inlineStr">
        <is>
          <t>VSM actual y futuro · Tiempos y capacidades · Indicadores y OEE · Tecnomatix</t>
        </is>
      </c>
    </row>
    <row r="15">
      <c r="A15" s="4" t="inlineStr">
        <is>
          <t>12</t>
        </is>
      </c>
      <c r="B15" s="4" t="inlineStr">
        <is>
          <t>Evaluación técnico-financiera</t>
        </is>
      </c>
      <c r="C15" s="4" t="inlineStr">
        <is>
          <t>S7</t>
        </is>
      </c>
      <c r="D15" s="4" t="inlineStr">
        <is>
          <t>S10</t>
        </is>
      </c>
      <c r="E15" s="4" t="inlineStr">
        <is>
          <t>2026-10-12</t>
        </is>
      </c>
      <c r="F15" s="4" t="inlineStr">
        <is>
          <t>2026-11-06</t>
        </is>
      </c>
      <c r="G15" s="4" t="inlineStr">
        <is>
          <t>CAPEX y cotizaciones · OPEX · VPN, TIR y payback · Propuesta de valor</t>
        </is>
      </c>
    </row>
    <row r="16">
      <c r="A16" s="4" t="inlineStr">
        <is>
          <t>13</t>
        </is>
      </c>
      <c r="B16" s="4" t="inlineStr">
        <is>
          <t>Validación y resultados</t>
        </is>
      </c>
      <c r="C16" s="4" t="inlineStr">
        <is>
          <t>S10</t>
        </is>
      </c>
      <c r="D16" s="4" t="inlineStr">
        <is>
          <t>S12</t>
        </is>
      </c>
      <c r="E16" s="4" t="inlineStr">
        <is>
          <t>2026-11-02</t>
        </is>
      </c>
      <c r="F16" s="4" t="inlineStr">
        <is>
          <t>2026-11-20</t>
        </is>
      </c>
      <c r="G16" s="4" t="inlineStr">
        <is>
          <t>Proceso y control · SCADA y celda · Antes frente a después · Pruebas FAT y SAT</t>
        </is>
      </c>
    </row>
    <row r="17">
      <c r="A17" s="4" t="inlineStr">
        <is>
          <t>14</t>
        </is>
      </c>
      <c r="B17" s="4" t="inlineStr">
        <is>
          <t>Documentación y cierre</t>
        </is>
      </c>
      <c r="C17" s="4" t="inlineStr">
        <is>
          <t>S1</t>
        </is>
      </c>
      <c r="D17" s="4" t="inlineStr">
        <is>
          <t>S12</t>
        </is>
      </c>
      <c r="E17" s="4" t="inlineStr">
        <is>
          <t>2026-08-31</t>
        </is>
      </c>
      <c r="F17" s="4" t="inlineStr">
        <is>
          <t>2026-11-20</t>
        </is>
      </c>
      <c r="G17" s="4" t="inlineStr">
        <is>
          <t>Repositorio Git y web · Videos · Entregas · Sustentación</t>
        </is>
      </c>
    </row>
    <row r="18">
      <c r="A18" s="4" t="inlineStr">
        <is>
          <t>H1</t>
        </is>
      </c>
      <c r="B18" s="4" t="inlineStr">
        <is>
          <t>Informe 1</t>
        </is>
      </c>
      <c r="C18" s="4" t="inlineStr">
        <is>
          <t>S4</t>
        </is>
      </c>
      <c r="D18" s="4" t="inlineStr">
        <is>
          <t>S4</t>
        </is>
      </c>
      <c r="E18" s="4" t="inlineStr">
        <is>
          <t>2026-09-26</t>
        </is>
      </c>
      <c r="F18" s="4" t="inlineStr">
        <is>
          <t>2026-09-26</t>
        </is>
      </c>
      <c r="G18" s="4" t="inlineStr">
        <is>
          <t>Hito</t>
        </is>
      </c>
    </row>
    <row r="19">
      <c r="A19" s="4" t="inlineStr">
        <is>
          <t>H2</t>
        </is>
      </c>
      <c r="B19" s="4" t="inlineStr">
        <is>
          <t>Informe 2</t>
        </is>
      </c>
      <c r="C19" s="4" t="inlineStr">
        <is>
          <t>S7</t>
        </is>
      </c>
      <c r="D19" s="4" t="inlineStr">
        <is>
          <t>S7</t>
        </is>
      </c>
      <c r="E19" s="4" t="inlineStr">
        <is>
          <t>2026-10-17</t>
        </is>
      </c>
      <c r="F19" s="4" t="inlineStr">
        <is>
          <t>2026-10-17</t>
        </is>
      </c>
      <c r="G19" s="4" t="inlineStr">
        <is>
          <t>Hito</t>
        </is>
      </c>
    </row>
    <row r="20">
      <c r="A20" s="4" t="inlineStr">
        <is>
          <t>H3</t>
        </is>
      </c>
      <c r="B20" s="4" t="inlineStr">
        <is>
          <t>Entrega final</t>
        </is>
      </c>
      <c r="C20" s="4" t="inlineStr">
        <is>
          <t>S12</t>
        </is>
      </c>
      <c r="D20" s="4" t="inlineStr">
        <is>
          <t>S12</t>
        </is>
      </c>
      <c r="E20" s="4" t="inlineStr">
        <is>
          <t>2026-11-20</t>
        </is>
      </c>
      <c r="F20" s="4" t="inlineStr">
        <is>
          <t>2026-11-20</t>
        </is>
      </c>
      <c r="G20" s="4" t="inlineStr">
        <is>
          <t>Hito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2026-10-05T02:35:27Z</dcterms:created>
  <dcterms:modified xsi:type="dcterms:W3CDTF">2026-10-05T02:35:27Z</dcterms:modified>
</cp:coreProperties>
</file>