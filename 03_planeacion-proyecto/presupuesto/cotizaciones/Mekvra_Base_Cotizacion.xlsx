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s internos" sheetId="1" r:id="rId4"/>
    <sheet state="visible" name="Resumen cliente" sheetId="2" r:id="rId5"/>
    <sheet state="visible" name="Hoja 1" sheetId="3" r:id="rId6"/>
    <sheet state="visible" name="Hoja 2" sheetId="4" r:id="rId7"/>
    <sheet state="visible" name="Hoja 3" sheetId="5" r:id="rId8"/>
  </sheets>
  <definedNames/>
  <calcPr/>
  <extLst>
    <ext uri="GoogleSheetsCustomDataVersion2">
      <go:sheetsCustomData xmlns:go="http://customooxmlschemas.google.com/" r:id="rId9" roundtripDataChecksum="LvQadbdXuUuNx8sdSD3AiAx91CCS/er6NyeEYKT3bl4="/>
    </ext>
  </extLst>
</workbook>
</file>

<file path=xl/sharedStrings.xml><?xml version="1.0" encoding="utf-8"?>
<sst xmlns="http://schemas.openxmlformats.org/spreadsheetml/2006/main" count="194" uniqueCount="172">
  <si>
    <t>MEKVRA - MODELO INTERNO DE COSTEO Y COTIZACIÓN</t>
  </si>
  <si>
    <t>Cliente</t>
  </si>
  <si>
    <t>Lácteos Altos de Teusacá</t>
  </si>
  <si>
    <t>Proyecto</t>
  </si>
  <si>
    <t>Automatización de línea de producción láctea (3 productos)</t>
  </si>
  <si>
    <t>Fecha cotización</t>
  </si>
  <si>
    <t>Vigencia (días)</t>
  </si>
  <si>
    <t>IVA ventas (%)</t>
  </si>
  <si>
    <t>Contingencia proyecto (%)</t>
  </si>
  <si>
    <t>1. COSTO LABORAL Y HORA PRODUCTIVA</t>
  </si>
  <si>
    <t>Rol</t>
  </si>
  <si>
    <t>Salario base mensual</t>
  </si>
  <si>
    <t>Factor cargas empresa</t>
  </si>
  <si>
    <t>Horas productivas/mes</t>
  </si>
  <si>
    <t>Personas</t>
  </si>
  <si>
    <t>Costo empresa mensual</t>
  </si>
  <si>
    <t>Costo hora cargado</t>
  </si>
  <si>
    <t>Líder de automatización</t>
  </si>
  <si>
    <t>Líder de ingeniería</t>
  </si>
  <si>
    <t>Líder de gestión y administración</t>
  </si>
  <si>
    <t>Gerencia, desarrollo y finanzas</t>
  </si>
  <si>
    <t>Líder de instrumentación y software</t>
  </si>
  <si>
    <t xml:space="preserve">Área Legal </t>
  </si>
  <si>
    <t>Personal profesional especialista</t>
  </si>
  <si>
    <t>Personal Tecnico (instalacion)</t>
  </si>
  <si>
    <t>2. COSTEO DE SERVICIOS, EQUIPOS Y OTROS ÍTEMS</t>
  </si>
  <si>
    <t>Etapa / ítem</t>
  </si>
  <si>
    <t>Tipo</t>
  </si>
  <si>
    <t>Horas estimadas</t>
  </si>
  <si>
    <t>Costo hora / unidad</t>
  </si>
  <si>
    <t>Costo personal</t>
  </si>
  <si>
    <t>Visitas por Fase a la empresa</t>
  </si>
  <si>
    <t>Personas involucradas</t>
  </si>
  <si>
    <t>Costo de transporte</t>
  </si>
  <si>
    <t>Costos externos/otros</t>
  </si>
  <si>
    <t>Costo directo total</t>
  </si>
  <si>
    <t>Margen objetivo</t>
  </si>
  <si>
    <t>Precio antes IVA</t>
  </si>
  <si>
    <t>Notas / supuesto</t>
  </si>
  <si>
    <t>Diagnóstico y levantamiento</t>
  </si>
  <si>
    <t>Servicio</t>
  </si>
  <si>
    <t>Consultoría y levantamiento</t>
  </si>
  <si>
    <t>Ingeniería conceptual/detalle</t>
  </si>
  <si>
    <t>Diseño y documentación</t>
  </si>
  <si>
    <t>Programación PLC/HMI/SCADA</t>
  </si>
  <si>
    <t>Desarrollo e integración</t>
  </si>
  <si>
    <t>Gestión y coordinación proyecto</t>
  </si>
  <si>
    <t>Planeación y seguimiento</t>
  </si>
  <si>
    <t>Instalación y puesta en marcha</t>
  </si>
  <si>
    <t>Instalación, pruebas y capacitación</t>
  </si>
  <si>
    <t>Soporte/posventa (opcional)</t>
  </si>
  <si>
    <t>Horas estimadas de soporte</t>
  </si>
  <si>
    <t>3. COSTEO DE LICENCIAS DE SOFTWARE</t>
  </si>
  <si>
    <t>Sofware/ Licencia</t>
  </si>
  <si>
    <t xml:space="preserve">Uso </t>
  </si>
  <si>
    <t>Tipo de licencia</t>
  </si>
  <si>
    <t>Costo licencia en su moneda</t>
  </si>
  <si>
    <t xml:space="preserve">Tasa de cambio </t>
  </si>
  <si>
    <t>Costo licencia en COP</t>
  </si>
  <si>
    <t>IVA u otros impuestos (%)</t>
  </si>
  <si>
    <t>Duracion de la licencia (meses)</t>
  </si>
  <si>
    <t>Duracion del proyecto (meses)</t>
  </si>
  <si>
    <t>Costo estimado antes de IVA</t>
  </si>
  <si>
    <t>Tecnomatix Plant Simulation (standar)</t>
  </si>
  <si>
    <t>Simulación flujo/producción</t>
  </si>
  <si>
    <t>Factory I/O</t>
  </si>
  <si>
    <t>Simulación y pruebas PLC</t>
  </si>
  <si>
    <t>individual</t>
  </si>
  <si>
    <t>Node-RED</t>
  </si>
  <si>
    <t xml:space="preserve">Integración IoT </t>
  </si>
  <si>
    <t>Autocad</t>
  </si>
  <si>
    <t>Diseño electrico</t>
  </si>
  <si>
    <t xml:space="preserve">individual </t>
  </si>
  <si>
    <t>Studio 5000/RS-link</t>
  </si>
  <si>
    <t>Programación de PLC Allen-Bradley/Rockwell</t>
  </si>
  <si>
    <t>Draw.IO</t>
  </si>
  <si>
    <t xml:space="preserve">Diseño de diagramas de procesos, P&amp;ID, etc. </t>
  </si>
  <si>
    <t>Microsoft 365</t>
  </si>
  <si>
    <t xml:space="preserve">comunicacion y documentación </t>
  </si>
  <si>
    <t>4. COSTEO DE EQUIPOS IMPORTADOS (POR ÍTEM)</t>
  </si>
  <si>
    <t>Equipo / referencia</t>
  </si>
  <si>
    <t>Proveedor / origen</t>
  </si>
  <si>
    <t>Precio proveedor COP</t>
  </si>
  <si>
    <t>Flete internacional + seguro hasta importación</t>
  </si>
  <si>
    <t>Honorario de agencia de aduana [%]</t>
  </si>
  <si>
    <t>Honorario de agencia de aduana [COP]</t>
  </si>
  <si>
    <t>Valor en aduana (base provisional)</t>
  </si>
  <si>
    <t>Arancel (%)</t>
  </si>
  <si>
    <t>Arancel COP</t>
  </si>
  <si>
    <t>Gastos aduaneros/locales + transporte nacional</t>
  </si>
  <si>
    <t>Costo antes IVA recuperable</t>
  </si>
  <si>
    <t>IVA importación (%)</t>
  </si>
  <si>
    <t>IVA importación estimado</t>
  </si>
  <si>
    <t xml:space="preserve">Precio equipo antes IVA </t>
  </si>
  <si>
    <t>GASTI R-Line L</t>
  </si>
  <si>
    <t>Leominster - Massachusetts</t>
  </si>
  <si>
    <t>Equipo 2</t>
  </si>
  <si>
    <t>Por definir</t>
  </si>
  <si>
    <t>Equipo 3</t>
  </si>
  <si>
    <t>Equipo 4</t>
  </si>
  <si>
    <t>Equipo 5</t>
  </si>
  <si>
    <t>4. RESUMEN INTERNO Y PRECIO FINAL</t>
  </si>
  <si>
    <t>Precio servicios antes de IVA</t>
  </si>
  <si>
    <t>Precio equipos antes de IVA</t>
  </si>
  <si>
    <t>Subtotal cotizable antes de IVA</t>
  </si>
  <si>
    <t>IVA venta estimado</t>
  </si>
  <si>
    <t>Total oferta con IVA</t>
  </si>
  <si>
    <t>Costo directo servicios</t>
  </si>
  <si>
    <t>Costo equipos antes IVA recuperable</t>
  </si>
  <si>
    <t>Margen bruto estimado COP</t>
  </si>
  <si>
    <t>Margen bruto estimado %</t>
  </si>
  <si>
    <t>Contingencia sobre costo directo</t>
  </si>
  <si>
    <t>MEKVRA INGENIERÍA E INTEGRACIÓN S.A.S. | PROPUESTA ECONÓMICA</t>
  </si>
  <si>
    <t>Fecha</t>
  </si>
  <si>
    <t>Vigencia</t>
  </si>
  <si>
    <t>ALCANCE ECONÓMICO</t>
  </si>
  <si>
    <t>Ítem</t>
  </si>
  <si>
    <t>Descripción</t>
  </si>
  <si>
    <t>Cantidad / unidad</t>
  </si>
  <si>
    <t>Precio unitario antes IVA</t>
  </si>
  <si>
    <t>Subtotal antes IVA</t>
  </si>
  <si>
    <t>Observaciones</t>
  </si>
  <si>
    <t>Alcance sujeto a validación en planta</t>
  </si>
  <si>
    <t>Según alcance aprobado</t>
  </si>
  <si>
    <t>Incluye pruebas descritas en propuesta</t>
  </si>
  <si>
    <t>Gestión y coordinación</t>
  </si>
  <si>
    <t>Según cronograma</t>
  </si>
  <si>
    <t>No incluye trabajos no especificados</t>
  </si>
  <si>
    <t>Equipos e instrumentación</t>
  </si>
  <si>
    <t>Estimación</t>
  </si>
  <si>
    <t>Soporte posventa opcional</t>
  </si>
  <si>
    <t>garantía según contrato</t>
  </si>
  <si>
    <t>Subtotal antes de IVA</t>
  </si>
  <si>
    <t xml:space="preserve">Contingencia </t>
  </si>
  <si>
    <t>Nuevo Subtotal antes de IVA</t>
  </si>
  <si>
    <t>IVA estimado</t>
  </si>
  <si>
    <t>Total cotización</t>
  </si>
  <si>
    <t xml:space="preserve">CONDICIONES COMERCIALES </t>
  </si>
  <si>
    <t>1. La cotización es preliminar y está sujeta a la definición del alcance, productos, capacidad y equipos existentes.</t>
  </si>
  <si>
    <t>2. Los equipos importados se cotizan con base en subpartida, país de origen, flete, seguro, tributos y disponibilidad confirmados; cambios de tasa de cambio o tarifas pueden modificar el precio.</t>
  </si>
  <si>
    <t>3. Forma de pago sugerida: anticipo que cubra compromisos de compra y costos iniciales; pagos restantes contra hitos de ingeniería, suministro, instalación y aceptación. Definir porcentajes en contrato.</t>
  </si>
  <si>
    <t>4. El IVA mostrado es una estimación y debe validarse por concepto y estructura contractual antes de emitir factura.</t>
  </si>
  <si>
    <t>5. Garantía y posventa se regirán por alcance, duración, exclusiones, tiempos de respuesta y condiciones operativas pactadas.</t>
  </si>
  <si>
    <t>6. No incluye actividades, equipos, permisos, obra civil, adecuaciones eléctricas o de proceso que no estén expresamente listados.</t>
  </si>
  <si>
    <t xml:space="preserve">Marca </t>
  </si>
  <si>
    <t xml:space="preserve">Modelo </t>
  </si>
  <si>
    <t xml:space="preserve">Lugar de origen </t>
  </si>
  <si>
    <t xml:space="preserve">Distribucion en Colombia </t>
  </si>
  <si>
    <t>aprox precio Comercial</t>
  </si>
  <si>
    <t xml:space="preserve">capacidad </t>
  </si>
  <si>
    <t xml:space="preserve">N° de llenados </t>
  </si>
  <si>
    <t>IMA</t>
  </si>
  <si>
    <t>GASTI R-Line</t>
  </si>
  <si>
    <t>Axioma B2B Marketing</t>
  </si>
  <si>
    <t>21600 vasos/h</t>
  </si>
  <si>
    <t>GRUNWALD</t>
  </si>
  <si>
    <t>Rotari 12000</t>
  </si>
  <si>
    <t xml:space="preserve">Primodan </t>
  </si>
  <si>
    <t xml:space="preserve">contenedor </t>
  </si>
  <si>
    <t>20' FCL</t>
  </si>
  <si>
    <r>
      <rPr>
        <color rgb="FF1155CC"/>
        <u/>
      </rPr>
      <t>Importar desde EEUU a Colombia: Guía 2026 - Logintec CO</t>
    </r>
  </si>
  <si>
    <t>Perfil de mercancia</t>
  </si>
  <si>
    <t>codigo nomenclatura</t>
  </si>
  <si>
    <t>Nivel de nomenclatura</t>
  </si>
  <si>
    <t xml:space="preserve">Descripcion </t>
  </si>
  <si>
    <t>Gravamen</t>
  </si>
  <si>
    <t xml:space="preserve">iva </t>
  </si>
  <si>
    <t>gavamen por acuerdos</t>
  </si>
  <si>
    <t>8422.30.90.20</t>
  </si>
  <si>
    <t>ARIAN</t>
  </si>
  <si>
    <t>máquinas y aparatos para llenar, cerrar, tapar, taponar o etiquetar botellas, botes o latas, cajas, sacos (bolsas) o demás continentes</t>
  </si>
  <si>
    <r>
      <rPr>
        <color rgb="FF1155CC"/>
        <u/>
      </rPr>
      <t>Compilación Jurídica de la DIAN - Decreto 1881 de 2021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</si>
</sst>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0.0%"/>
    <numFmt numFmtId="166" formatCode="\$\ #,##0;[Red]\-\$\ #,##0"/>
    <numFmt numFmtId="167" formatCode="[$ $]#,##0"/>
    <numFmt numFmtId="168" formatCode="d-m"/>
  </numFmts>
  <fonts count="24">
    <font>
      <sz val="11.0"/>
      <color theme="1"/>
      <name val="Calibri"/>
      <scheme val="minor"/>
    </font>
    <font>
      <b/>
      <sz val="16.0"/>
      <color rgb="FF595959"/>
      <name val="Arial"/>
    </font>
    <font/>
    <font>
      <sz val="11.0"/>
      <color theme="1"/>
      <name val="Arial"/>
    </font>
    <font>
      <b/>
      <sz val="11.0"/>
      <color theme="1"/>
      <name val="Arial"/>
    </font>
    <font>
      <b/>
      <sz val="11.0"/>
      <color rgb="FF595959"/>
      <name val="Arial"/>
    </font>
    <font>
      <b/>
      <sz val="11.0"/>
      <color rgb="FF000000"/>
      <name val="Arial"/>
    </font>
    <font>
      <b/>
      <sz val="11.0"/>
      <color rgb="FFFFFFFF"/>
      <name val="Arial"/>
    </font>
    <font>
      <sz val="9.0"/>
      <color rgb="FF666666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1.0"/>
      <color rgb="FF7F7F7F"/>
      <name val="Arial"/>
    </font>
    <font>
      <b/>
      <color theme="1"/>
      <name val="Arial"/>
    </font>
    <font>
      <color theme="1"/>
      <name val="Calibri"/>
      <scheme val="minor"/>
    </font>
    <font>
      <color theme="1"/>
      <name val="Arial"/>
    </font>
    <font>
      <b/>
      <sz val="12.0"/>
      <color theme="1"/>
      <name val="Calibri"/>
      <scheme val="minor"/>
    </font>
    <font>
      <b/>
      <sz val="16.0"/>
      <color rgb="FF7F7F7F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rgb="FF7F7F7F"/>
      <name val="Aptos Narrow"/>
    </font>
    <font>
      <sz val="9.0"/>
      <color rgb="FF666666"/>
      <name val="Aptos Narrow"/>
    </font>
    <font>
      <u/>
      <color rgb="FF0000FF"/>
    </font>
    <font>
      <b/>
      <color rgb="FF2D5544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BBB6B"/>
        <bgColor rgb="FFDBBB6B"/>
      </patternFill>
    </fill>
    <fill>
      <patternFill patternType="solid">
        <fgColor rgb="FFF3F6FA"/>
        <bgColor rgb="FFF3F6FA"/>
      </patternFill>
    </fill>
    <fill>
      <patternFill patternType="solid">
        <fgColor theme="0"/>
        <bgColor theme="0"/>
      </patternFill>
    </fill>
    <fill>
      <patternFill patternType="solid">
        <fgColor rgb="FFEDDDB5"/>
        <bgColor rgb="FFEDDDB5"/>
      </patternFill>
    </fill>
    <fill>
      <patternFill patternType="solid">
        <fgColor rgb="FFFFFFFF"/>
        <bgColor rgb="FFFFFFFF"/>
      </patternFill>
    </fill>
    <fill>
      <patternFill patternType="solid">
        <fgColor rgb="FFE2F0D9"/>
        <bgColor rgb="FFE2F0D9"/>
      </patternFill>
    </fill>
    <fill>
      <patternFill patternType="solid">
        <fgColor rgb="FFF3F3F3"/>
        <bgColor rgb="FFF3F3F3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4" fontId="3" numFmtId="164" xfId="0" applyAlignment="1" applyBorder="1" applyFill="1" applyFont="1" applyNumberFormat="1">
      <alignment horizontal="center" shrinkToFit="0" vertical="center" wrapText="1"/>
    </xf>
    <xf borderId="4" fillId="4" fontId="3" numFmtId="3" xfId="0" applyAlignment="1" applyBorder="1" applyFill="1" applyFont="1" applyNumberFormat="1">
      <alignment horizontal="center" shrinkToFit="0" vertical="center" wrapText="1"/>
    </xf>
    <xf borderId="4" fillId="4" fontId="3" numFmtId="165" xfId="0" applyAlignment="1" applyBorder="1" applyFill="1" applyFont="1" applyNumberFormat="1">
      <alignment horizontal="center" shrinkToFit="0" vertical="center" wrapText="1"/>
    </xf>
    <xf borderId="5" fillId="2" fontId="5" numFmtId="0" xfId="0" applyAlignment="1" applyBorder="1" applyFill="1" applyFont="1">
      <alignment horizontal="center" shrinkToFit="0" vertical="center" wrapText="1"/>
    </xf>
    <xf borderId="8" fillId="4" fontId="6" numFmtId="0" xfId="0" applyAlignment="1" applyBorder="1" applyFill="1" applyFont="1">
      <alignment horizontal="center" readingOrder="0" shrinkToFit="0" vertical="center" wrapText="1"/>
    </xf>
    <xf borderId="8" fillId="4" fontId="7" numFmtId="0" xfId="0" applyAlignment="1" applyBorder="1" applyFill="1" applyFont="1">
      <alignment horizontal="center" readingOrder="0" shrinkToFit="0" vertical="center" wrapText="1"/>
    </xf>
    <xf borderId="8" fillId="4" fontId="7" numFmtId="0" xfId="0" applyAlignment="1" applyBorder="1" applyFill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4" fontId="3" numFmtId="166" xfId="0" applyAlignment="1" applyBorder="1" applyFill="1" applyFont="1" applyNumberFormat="1">
      <alignment horizontal="center" shrinkToFit="0" vertical="center" wrapText="1"/>
    </xf>
    <xf borderId="4" fillId="4" fontId="3" numFmtId="9" xfId="0" applyAlignment="1" applyBorder="1" applyFill="1" applyFont="1" applyNumberFormat="1">
      <alignment horizontal="center" shrinkToFit="0" vertical="center" wrapText="1"/>
    </xf>
    <xf borderId="4" fillId="0" fontId="3" numFmtId="166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4" fillId="4" fontId="3" numFmtId="3" xfId="0" applyAlignment="1" applyBorder="1" applyFill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0" numFmtId="167" xfId="0" applyAlignment="1" applyBorder="1" applyFont="1" applyNumberFormat="1">
      <alignment horizontal="center" readingOrder="0" shrinkToFit="0" vertical="center" wrapText="1"/>
    </xf>
    <xf borderId="4" fillId="4" fontId="3" numFmtId="166" xfId="0" applyAlignment="1" applyBorder="1" applyFill="1" applyFont="1" applyNumberFormat="1">
      <alignment horizontal="center" readingOrder="0" shrinkToFit="0" vertical="center" wrapText="1"/>
    </xf>
    <xf borderId="9" fillId="2" fontId="11" numFmtId="0" xfId="0" applyAlignment="1" applyBorder="1" applyFill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0" fillId="0" fontId="11" numFmtId="0" xfId="0" applyAlignment="1" applyFont="1">
      <alignment horizontal="center" shrinkToFit="0" vertical="center" wrapText="1"/>
    </xf>
    <xf borderId="0" fillId="6" fontId="11" numFmtId="0" xfId="0" applyAlignment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shrinkToFit="0" wrapText="1"/>
    </xf>
    <xf borderId="4" fillId="0" fontId="3" numFmtId="167" xfId="0" applyAlignment="1" applyBorder="1" applyFont="1" applyNumberFormat="1">
      <alignment horizontal="center" readingOrder="0" shrinkToFit="0" vertical="center" wrapText="1"/>
    </xf>
    <xf borderId="4" fillId="0" fontId="14" numFmtId="167" xfId="0" applyAlignment="1" applyBorder="1" applyFont="1" applyNumberFormat="1">
      <alignment horizontal="center" readingOrder="0" shrinkToFit="0" vertical="center" wrapText="1"/>
    </xf>
    <xf borderId="4" fillId="0" fontId="14" numFmtId="167" xfId="0" applyAlignment="1" applyBorder="1" applyFont="1" applyNumberFormat="1">
      <alignment horizontal="center" shrinkToFit="0" vertical="center" wrapText="1"/>
    </xf>
    <xf borderId="4" fillId="0" fontId="14" numFmtId="10" xfId="0" applyAlignment="1" applyBorder="1" applyFont="1" applyNumberFormat="1">
      <alignment horizontal="center" readingOrder="0" shrinkToFit="0" vertical="center" wrapText="1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7" xfId="0" applyAlignment="1" applyBorder="1" applyFont="1" applyNumberFormat="1">
      <alignment horizontal="center" shrinkToFit="0" vertical="center" wrapText="1"/>
    </xf>
    <xf borderId="4" fillId="0" fontId="14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4" fillId="5" fontId="15" numFmtId="0" xfId="0" applyAlignment="1" applyBorder="1" applyFill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0" fontId="13" numFmtId="9" xfId="0" applyAlignment="1" applyBorder="1" applyFont="1" applyNumberFormat="1">
      <alignment horizontal="center" readingOrder="0" shrinkToFit="0" vertical="center" wrapText="1"/>
    </xf>
    <xf borderId="4" fillId="0" fontId="13" numFmtId="167" xfId="0" applyAlignment="1" applyBorder="1" applyFont="1" applyNumberFormat="1">
      <alignment horizontal="center" shrinkToFit="0" vertical="center" wrapText="1"/>
    </xf>
    <xf borderId="4" fillId="4" fontId="3" numFmtId="9" xfId="0" applyAlignment="1" applyBorder="1" applyFill="1" applyFont="1" applyNumberFormat="1">
      <alignment horizontal="center" readingOrder="0" shrinkToFit="0" vertical="center" wrapText="1"/>
    </xf>
    <xf borderId="4" fillId="4" fontId="3" numFmtId="0" xfId="0" applyAlignment="1" applyBorder="1" applyFill="1" applyFont="1">
      <alignment horizontal="center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0" fontId="3" numFmtId="166" xfId="0" applyAlignment="1" applyBorder="1" applyFont="1" applyNumberFormat="1">
      <alignment horizontal="center" shrinkToFit="0" vertical="center" wrapText="1"/>
    </xf>
    <xf borderId="5" fillId="7" fontId="4" numFmtId="166" xfId="0" applyAlignment="1" applyBorder="1" applyFill="1" applyFont="1" applyNumberFormat="1">
      <alignment horizontal="center" shrinkToFit="0" vertical="center" wrapText="1"/>
    </xf>
    <xf borderId="5" fillId="0" fontId="3" numFmtId="165" xfId="0" applyAlignment="1" applyBorder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1" fillId="2" fontId="16" numFmtId="0" xfId="0" applyAlignment="1" applyBorder="1" applyFill="1" applyFont="1">
      <alignment horizontal="center" vertical="center"/>
    </xf>
    <xf borderId="0" fillId="0" fontId="17" numFmtId="0" xfId="0" applyFont="1"/>
    <xf borderId="4" fillId="3" fontId="18" numFmtId="0" xfId="0" applyAlignment="1" applyBorder="1" applyFill="1" applyFont="1">
      <alignment shrinkToFit="0" wrapText="1"/>
    </xf>
    <xf borderId="5" fillId="0" fontId="17" numFmtId="0" xfId="0" applyAlignment="1" applyBorder="1" applyFont="1">
      <alignment shrinkToFit="0" vertical="top" wrapText="1"/>
    </xf>
    <xf borderId="5" fillId="0" fontId="17" numFmtId="164" xfId="0" applyBorder="1" applyFont="1" applyNumberFormat="1"/>
    <xf borderId="5" fillId="2" fontId="19" numFmtId="0" xfId="0" applyAlignment="1" applyBorder="1" applyFill="1" applyFont="1">
      <alignment horizontal="center"/>
    </xf>
    <xf borderId="4" fillId="5" fontId="18" numFmtId="0" xfId="0" applyAlignment="1" applyBorder="1" applyFill="1" applyFont="1">
      <alignment shrinkToFit="0" vertical="center" wrapText="1"/>
    </xf>
    <xf borderId="4" fillId="0" fontId="17" numFmtId="0" xfId="0" applyAlignment="1" applyBorder="1" applyFont="1">
      <alignment shrinkToFit="0" vertical="top" wrapText="1"/>
    </xf>
    <xf borderId="4" fillId="0" fontId="17" numFmtId="4" xfId="0" applyBorder="1" applyFont="1" applyNumberFormat="1"/>
    <xf borderId="4" fillId="0" fontId="17" numFmtId="166" xfId="0" applyBorder="1" applyFont="1" applyNumberFormat="1"/>
    <xf borderId="4" fillId="0" fontId="3" numFmtId="4" xfId="0" applyAlignment="1" applyBorder="1" applyFont="1" applyNumberFormat="1">
      <alignment readingOrder="0"/>
    </xf>
    <xf borderId="4" fillId="0" fontId="3" numFmtId="0" xfId="0" applyAlignment="1" applyBorder="1" applyFont="1">
      <alignment readingOrder="0" shrinkToFit="0" vertical="top" wrapText="1"/>
    </xf>
    <xf borderId="4" fillId="0" fontId="18" numFmtId="166" xfId="0" applyBorder="1" applyFont="1" applyNumberFormat="1"/>
    <xf borderId="4" fillId="3" fontId="4" numFmtId="0" xfId="0" applyAlignment="1" applyBorder="1" applyFill="1" applyFont="1">
      <alignment readingOrder="0" shrinkToFit="0" wrapText="1"/>
    </xf>
    <xf borderId="4" fillId="7" fontId="18" numFmtId="166" xfId="0" applyBorder="1" applyFill="1" applyFont="1" applyNumberFormat="1"/>
    <xf borderId="0" fillId="0" fontId="20" numFmtId="0" xfId="0" applyAlignment="1" applyFont="1">
      <alignment shrinkToFit="0" vertical="top" wrapText="1"/>
    </xf>
    <xf borderId="0" fillId="0" fontId="13" numFmtId="168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6" fontId="22" numFmtId="0" xfId="0" applyAlignment="1" applyFill="1" applyFont="1">
      <alignment horizontal="center" readingOrder="0"/>
    </xf>
    <xf borderId="0" fillId="8" fontId="23" numFmtId="0" xfId="0" applyAlignment="1" applyFill="1" applyFont="1">
      <alignment readingOrder="0"/>
    </xf>
    <xf borderId="0" fillId="0" fontId="13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gintec.co/blog/importar-desde-estados-unidos-colombia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normograma.dian.gov.co/dian/compilacion/docs/decreto_1881_2021.ht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29"/>
    <col customWidth="1" min="2" max="2" width="23.71"/>
    <col customWidth="1" min="3" max="3" width="19.71"/>
    <col customWidth="1" min="4" max="4" width="17.71"/>
    <col customWidth="1" min="5" max="5" width="24.0"/>
    <col customWidth="1" min="6" max="6" width="26.43"/>
    <col customWidth="1" min="7" max="7" width="26.0"/>
    <col customWidth="1" min="8" max="8" width="22.29"/>
    <col customWidth="1" min="9" max="11" width="17.71"/>
    <col customWidth="1" min="12" max="12" width="21.71"/>
    <col customWidth="1" min="13" max="13" width="21.0"/>
    <col customWidth="1" min="14" max="14" width="18.14"/>
    <col customWidth="1" min="15" max="15" width="15.29"/>
    <col customWidth="1" min="16" max="16" width="14.14"/>
    <col customWidth="1" min="17" max="17" width="17.86"/>
    <col customWidth="1" min="18" max="18" width="16.57"/>
    <col customWidth="1" min="19" max="19" width="17.86"/>
    <col customWidth="1" min="20" max="26" width="8.86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" t="s">
        <v>1</v>
      </c>
      <c r="B3" s="6" t="s">
        <v>2</v>
      </c>
      <c r="C3" s="7"/>
      <c r="D3" s="8"/>
      <c r="E3" s="5" t="s">
        <v>3</v>
      </c>
      <c r="F3" s="6" t="s">
        <v>4</v>
      </c>
      <c r="G3" s="7"/>
      <c r="H3" s="7"/>
      <c r="I3" s="7"/>
      <c r="J3" s="8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5" t="s">
        <v>5</v>
      </c>
      <c r="B4" s="9">
        <v>46305.0</v>
      </c>
      <c r="C4" s="5" t="s">
        <v>6</v>
      </c>
      <c r="D4" s="10">
        <v>30.0</v>
      </c>
      <c r="E4" s="5" t="s">
        <v>7</v>
      </c>
      <c r="F4" s="11">
        <v>0.19</v>
      </c>
      <c r="G4" s="5" t="s">
        <v>8</v>
      </c>
      <c r="H4" s="11">
        <v>0.05</v>
      </c>
      <c r="I4" s="5"/>
      <c r="J4" s="11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2" t="s">
        <v>9</v>
      </c>
      <c r="B6" s="7"/>
      <c r="C6" s="7"/>
      <c r="D6" s="7"/>
      <c r="E6" s="7"/>
      <c r="F6" s="7"/>
      <c r="G6" s="8"/>
      <c r="H6" s="13"/>
      <c r="I6" s="14"/>
      <c r="J6" s="1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6" t="s">
        <v>10</v>
      </c>
      <c r="B7" s="16" t="s">
        <v>11</v>
      </c>
      <c r="C7" s="16" t="s">
        <v>12</v>
      </c>
      <c r="D7" s="16" t="s">
        <v>13</v>
      </c>
      <c r="E7" s="16" t="s">
        <v>14</v>
      </c>
      <c r="F7" s="16" t="s">
        <v>15</v>
      </c>
      <c r="G7" s="16" t="s">
        <v>16</v>
      </c>
      <c r="H7" s="17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17</v>
      </c>
      <c r="B8" s="19">
        <v>5300000.0</v>
      </c>
      <c r="C8" s="20">
        <v>0.38</v>
      </c>
      <c r="D8" s="10">
        <v>150.0</v>
      </c>
      <c r="E8" s="10">
        <v>1.0</v>
      </c>
      <c r="F8" s="21">
        <f t="shared" ref="F8:F12" si="1">B8*(1+C8)*E8</f>
        <v>7314000</v>
      </c>
      <c r="G8" s="21">
        <f t="shared" ref="G8:G12" si="2">F8/D8</f>
        <v>48760</v>
      </c>
      <c r="H8" s="2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 t="s">
        <v>18</v>
      </c>
      <c r="B9" s="19">
        <v>5600000.0</v>
      </c>
      <c r="C9" s="20">
        <v>0.38</v>
      </c>
      <c r="D9" s="10">
        <v>150.0</v>
      </c>
      <c r="E9" s="10">
        <v>1.0</v>
      </c>
      <c r="F9" s="21">
        <f t="shared" si="1"/>
        <v>7728000</v>
      </c>
      <c r="G9" s="21">
        <f t="shared" si="2"/>
        <v>51520</v>
      </c>
      <c r="H9" s="22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18" t="s">
        <v>19</v>
      </c>
      <c r="B10" s="19">
        <v>5000000.0</v>
      </c>
      <c r="C10" s="20">
        <v>0.38</v>
      </c>
      <c r="D10" s="10">
        <v>150.0</v>
      </c>
      <c r="E10" s="10">
        <v>1.0</v>
      </c>
      <c r="F10" s="21">
        <f t="shared" si="1"/>
        <v>6900000</v>
      </c>
      <c r="G10" s="21">
        <f t="shared" si="2"/>
        <v>46000</v>
      </c>
      <c r="H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18" t="s">
        <v>20</v>
      </c>
      <c r="B11" s="19">
        <v>6300000.0</v>
      </c>
      <c r="C11" s="20">
        <v>0.38</v>
      </c>
      <c r="D11" s="10">
        <v>150.0</v>
      </c>
      <c r="E11" s="10">
        <v>1.0</v>
      </c>
      <c r="F11" s="21">
        <f t="shared" si="1"/>
        <v>8694000</v>
      </c>
      <c r="G11" s="21">
        <f t="shared" si="2"/>
        <v>57960</v>
      </c>
      <c r="H11" s="22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18" t="s">
        <v>21</v>
      </c>
      <c r="B12" s="19">
        <v>5500000.0</v>
      </c>
      <c r="C12" s="20">
        <v>0.38</v>
      </c>
      <c r="D12" s="23">
        <v>150.0</v>
      </c>
      <c r="E12" s="10">
        <v>1.0</v>
      </c>
      <c r="F12" s="21">
        <f t="shared" si="1"/>
        <v>7590000</v>
      </c>
      <c r="G12" s="21">
        <f t="shared" si="2"/>
        <v>50600</v>
      </c>
      <c r="H12" s="22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24" t="s">
        <v>22</v>
      </c>
      <c r="B13" s="19">
        <v>2000000.0</v>
      </c>
      <c r="C13" s="20"/>
      <c r="D13" s="10"/>
      <c r="E13" s="10">
        <v>1.0</v>
      </c>
      <c r="F13" s="21"/>
      <c r="G13" s="21">
        <f>E13*B13</f>
        <v>2000000</v>
      </c>
      <c r="H13" s="25"/>
      <c r="I13" s="25"/>
      <c r="J13" s="25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18" t="s">
        <v>23</v>
      </c>
      <c r="B14" s="19">
        <v>4500000.0</v>
      </c>
      <c r="C14" s="20"/>
      <c r="D14" s="23"/>
      <c r="E14" s="10">
        <v>2.0</v>
      </c>
      <c r="F14" s="21"/>
      <c r="G14" s="21">
        <f>B14*E14</f>
        <v>9000000</v>
      </c>
      <c r="H14" s="22"/>
      <c r="I14" s="25"/>
      <c r="J14" s="25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18" t="s">
        <v>24</v>
      </c>
      <c r="B15" s="19">
        <v>2300000.0</v>
      </c>
      <c r="C15" s="20">
        <v>0.38</v>
      </c>
      <c r="D15" s="23">
        <v>155.0</v>
      </c>
      <c r="E15" s="23">
        <v>4.0</v>
      </c>
      <c r="F15" s="21">
        <f>B15*(1+C15)*E15</f>
        <v>12696000</v>
      </c>
      <c r="G15" s="21">
        <f>F15/D15</f>
        <v>81909.67742</v>
      </c>
      <c r="H15" s="22"/>
      <c r="I15" s="25"/>
      <c r="J15" s="2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2" t="s">
        <v>25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  <c r="Q17" s="26"/>
      <c r="R17" s="26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6" t="s">
        <v>26</v>
      </c>
      <c r="B18" s="16" t="s">
        <v>27</v>
      </c>
      <c r="C18" s="16" t="s">
        <v>17</v>
      </c>
      <c r="D18" s="16" t="s">
        <v>18</v>
      </c>
      <c r="E18" s="16" t="s">
        <v>19</v>
      </c>
      <c r="F18" s="16" t="s">
        <v>20</v>
      </c>
      <c r="G18" s="16" t="s">
        <v>21</v>
      </c>
      <c r="H18" s="27" t="s">
        <v>24</v>
      </c>
      <c r="I18" s="16" t="s">
        <v>28</v>
      </c>
      <c r="J18" s="16" t="s">
        <v>29</v>
      </c>
      <c r="K18" s="16" t="s">
        <v>30</v>
      </c>
      <c r="L18" s="28" t="s">
        <v>31</v>
      </c>
      <c r="M18" s="28" t="s">
        <v>32</v>
      </c>
      <c r="N18" s="28" t="s">
        <v>33</v>
      </c>
      <c r="O18" s="29" t="s">
        <v>34</v>
      </c>
      <c r="P18" s="16" t="s">
        <v>35</v>
      </c>
      <c r="Q18" s="16" t="s">
        <v>36</v>
      </c>
      <c r="R18" s="16" t="s">
        <v>37</v>
      </c>
      <c r="S18" s="16" t="s">
        <v>38</v>
      </c>
      <c r="T18" s="4"/>
      <c r="U18" s="4"/>
      <c r="V18" s="4"/>
      <c r="W18" s="4"/>
      <c r="X18" s="4"/>
      <c r="Y18" s="4"/>
      <c r="Z18" s="4"/>
    </row>
    <row r="19" ht="14.25" customHeight="1">
      <c r="A19" s="18" t="s">
        <v>39</v>
      </c>
      <c r="B19" s="18" t="s">
        <v>40</v>
      </c>
      <c r="C19" s="30">
        <v>140.0</v>
      </c>
      <c r="D19" s="30">
        <v>200.0</v>
      </c>
      <c r="E19" s="30">
        <v>140.0</v>
      </c>
      <c r="F19" s="30">
        <v>100.0</v>
      </c>
      <c r="G19" s="30">
        <v>140.0</v>
      </c>
      <c r="H19" s="30">
        <v>0.0</v>
      </c>
      <c r="I19" s="23">
        <f t="shared" ref="I19:I24" si="3">SUM(C19:H19)</f>
        <v>720</v>
      </c>
      <c r="J19" s="21">
        <f>$G$8</f>
        <v>48760</v>
      </c>
      <c r="K19" s="21">
        <f t="shared" ref="K19:K24" si="4">I19*J19</f>
        <v>35107200</v>
      </c>
      <c r="L19" s="30">
        <v>4.0</v>
      </c>
      <c r="M19" s="30">
        <v>6.0</v>
      </c>
      <c r="N19" s="31">
        <v>200000.0</v>
      </c>
      <c r="O19" s="19">
        <f>(G14+(N19*M19*L19))*1.15</f>
        <v>15870000</v>
      </c>
      <c r="P19" s="21">
        <f t="shared" ref="P19:P24" si="5">K19+O19</f>
        <v>50977200</v>
      </c>
      <c r="Q19" s="20">
        <v>0.34</v>
      </c>
      <c r="R19" s="21">
        <f t="shared" ref="R19:R24" si="6">P19/(1-Q19)</f>
        <v>77238181.82</v>
      </c>
      <c r="S19" s="18" t="s">
        <v>41</v>
      </c>
      <c r="T19" s="4"/>
      <c r="U19" s="4"/>
      <c r="V19" s="4"/>
      <c r="W19" s="4"/>
      <c r="X19" s="4"/>
      <c r="Y19" s="4"/>
      <c r="Z19" s="4"/>
    </row>
    <row r="20" ht="14.25" customHeight="1">
      <c r="A20" s="18" t="s">
        <v>42</v>
      </c>
      <c r="B20" s="18" t="s">
        <v>40</v>
      </c>
      <c r="C20" s="30">
        <v>165.0</v>
      </c>
      <c r="D20" s="30">
        <v>225.0</v>
      </c>
      <c r="E20" s="30">
        <v>100.0</v>
      </c>
      <c r="F20" s="30">
        <v>80.0</v>
      </c>
      <c r="G20" s="30">
        <v>135.0</v>
      </c>
      <c r="H20" s="30">
        <v>0.0</v>
      </c>
      <c r="I20" s="23">
        <f t="shared" si="3"/>
        <v>705</v>
      </c>
      <c r="J20" s="21">
        <f>$G$9</f>
        <v>51520</v>
      </c>
      <c r="K20" s="21">
        <f t="shared" si="4"/>
        <v>36321600</v>
      </c>
      <c r="L20" s="30">
        <v>2.0</v>
      </c>
      <c r="M20" s="30">
        <v>3.0</v>
      </c>
      <c r="N20" s="31">
        <v>200000.0</v>
      </c>
      <c r="O20" s="32">
        <f t="shared" ref="O20:O21" si="7">N20*M20*L20*1.15</f>
        <v>1380000</v>
      </c>
      <c r="P20" s="21">
        <f t="shared" si="5"/>
        <v>37701600</v>
      </c>
      <c r="Q20" s="20">
        <v>0.35</v>
      </c>
      <c r="R20" s="21">
        <f t="shared" si="6"/>
        <v>58002461.54</v>
      </c>
      <c r="S20" s="18" t="s">
        <v>43</v>
      </c>
      <c r="T20" s="4"/>
      <c r="U20" s="4"/>
      <c r="V20" s="4"/>
      <c r="W20" s="4"/>
      <c r="X20" s="4"/>
      <c r="Y20" s="4"/>
      <c r="Z20" s="4"/>
    </row>
    <row r="21" ht="14.25" customHeight="1">
      <c r="A21" s="18" t="s">
        <v>44</v>
      </c>
      <c r="B21" s="18" t="s">
        <v>40</v>
      </c>
      <c r="C21" s="30">
        <v>55.0</v>
      </c>
      <c r="D21" s="30">
        <v>20.0</v>
      </c>
      <c r="E21" s="30">
        <v>0.0</v>
      </c>
      <c r="F21" s="30">
        <v>0.0</v>
      </c>
      <c r="G21" s="30">
        <v>45.0</v>
      </c>
      <c r="H21" s="30">
        <v>0.0</v>
      </c>
      <c r="I21" s="23">
        <f t="shared" si="3"/>
        <v>120</v>
      </c>
      <c r="J21" s="21">
        <f>$G$10</f>
        <v>46000</v>
      </c>
      <c r="K21" s="21">
        <f t="shared" si="4"/>
        <v>5520000</v>
      </c>
      <c r="L21" s="30">
        <v>0.0</v>
      </c>
      <c r="M21" s="30">
        <v>0.0</v>
      </c>
      <c r="N21" s="31">
        <v>200000.0</v>
      </c>
      <c r="O21" s="32">
        <f t="shared" si="7"/>
        <v>0</v>
      </c>
      <c r="P21" s="21">
        <f t="shared" si="5"/>
        <v>5520000</v>
      </c>
      <c r="Q21" s="20">
        <v>0.35</v>
      </c>
      <c r="R21" s="21">
        <f t="shared" si="6"/>
        <v>8492307.692</v>
      </c>
      <c r="S21" s="18" t="s">
        <v>45</v>
      </c>
      <c r="T21" s="4"/>
      <c r="U21" s="4"/>
      <c r="V21" s="4"/>
      <c r="W21" s="4"/>
      <c r="X21" s="4"/>
      <c r="Y21" s="4"/>
      <c r="Z21" s="4"/>
    </row>
    <row r="22" ht="14.25" customHeight="1">
      <c r="A22" s="18" t="s">
        <v>46</v>
      </c>
      <c r="B22" s="18" t="s">
        <v>40</v>
      </c>
      <c r="C22" s="30">
        <v>50.0</v>
      </c>
      <c r="D22" s="30">
        <v>55.0</v>
      </c>
      <c r="E22" s="30">
        <v>150.0</v>
      </c>
      <c r="F22" s="30">
        <v>150.0</v>
      </c>
      <c r="G22" s="30">
        <v>40.0</v>
      </c>
      <c r="H22" s="30">
        <v>0.0</v>
      </c>
      <c r="I22" s="23">
        <f t="shared" si="3"/>
        <v>445</v>
      </c>
      <c r="J22" s="21">
        <f>$G$11</f>
        <v>57960</v>
      </c>
      <c r="K22" s="21">
        <f t="shared" si="4"/>
        <v>25792200</v>
      </c>
      <c r="L22" s="30">
        <v>6.0</v>
      </c>
      <c r="M22" s="30">
        <v>5.0</v>
      </c>
      <c r="N22" s="31">
        <v>200000.0</v>
      </c>
      <c r="O22" s="32">
        <f>(N22*M22*L22*1.15)+G13</f>
        <v>8900000</v>
      </c>
      <c r="P22" s="21">
        <f t="shared" si="5"/>
        <v>34692200</v>
      </c>
      <c r="Q22" s="20">
        <v>0.3</v>
      </c>
      <c r="R22" s="21">
        <f t="shared" si="6"/>
        <v>49560285.71</v>
      </c>
      <c r="S22" s="18" t="s">
        <v>47</v>
      </c>
      <c r="T22" s="4"/>
      <c r="U22" s="4"/>
      <c r="V22" s="4"/>
      <c r="W22" s="4"/>
      <c r="X22" s="4"/>
      <c r="Y22" s="4"/>
      <c r="Z22" s="4"/>
    </row>
    <row r="23" ht="14.25" customHeight="1">
      <c r="A23" s="18" t="s">
        <v>48</v>
      </c>
      <c r="B23" s="18" t="s">
        <v>40</v>
      </c>
      <c r="C23" s="30">
        <v>42.0</v>
      </c>
      <c r="D23" s="30">
        <v>40.0</v>
      </c>
      <c r="E23" s="30">
        <v>10.0</v>
      </c>
      <c r="F23" s="30">
        <v>10.0</v>
      </c>
      <c r="G23" s="30">
        <v>25.0</v>
      </c>
      <c r="H23" s="30">
        <f>30*E15</f>
        <v>120</v>
      </c>
      <c r="I23" s="23">
        <f t="shared" si="3"/>
        <v>247</v>
      </c>
      <c r="J23" s="21">
        <f>$G$12+$G$15</f>
        <v>132509.6774</v>
      </c>
      <c r="K23" s="21">
        <f t="shared" si="4"/>
        <v>32729890.32</v>
      </c>
      <c r="L23" s="30">
        <v>60.0</v>
      </c>
      <c r="M23" s="30">
        <v>10.0</v>
      </c>
      <c r="N23" s="31">
        <v>200000.0</v>
      </c>
      <c r="O23" s="32">
        <f t="shared" ref="O23:O24" si="8">N23*M23*L23*1.15</f>
        <v>138000000</v>
      </c>
      <c r="P23" s="21">
        <f t="shared" si="5"/>
        <v>170729890.3</v>
      </c>
      <c r="Q23" s="20">
        <v>0.32</v>
      </c>
      <c r="R23" s="21">
        <f t="shared" si="6"/>
        <v>251073368.1</v>
      </c>
      <c r="S23" s="18" t="s">
        <v>49</v>
      </c>
      <c r="T23" s="4"/>
      <c r="U23" s="4"/>
      <c r="V23" s="4"/>
      <c r="W23" s="4"/>
      <c r="X23" s="4"/>
      <c r="Y23" s="4"/>
      <c r="Z23" s="4"/>
    </row>
    <row r="24" ht="14.25" customHeight="1">
      <c r="A24" s="18" t="s">
        <v>50</v>
      </c>
      <c r="B24" s="18" t="s">
        <v>40</v>
      </c>
      <c r="C24" s="30">
        <v>15.0</v>
      </c>
      <c r="D24" s="30">
        <v>15.0</v>
      </c>
      <c r="E24" s="30">
        <v>10.0</v>
      </c>
      <c r="F24" s="30">
        <v>10.0</v>
      </c>
      <c r="G24" s="30">
        <v>15.0</v>
      </c>
      <c r="H24" s="30">
        <v>10.0</v>
      </c>
      <c r="I24" s="23">
        <f t="shared" si="3"/>
        <v>75</v>
      </c>
      <c r="J24" s="21">
        <f>$G$8</f>
        <v>48760</v>
      </c>
      <c r="K24" s="21">
        <f t="shared" si="4"/>
        <v>3657000</v>
      </c>
      <c r="L24" s="30">
        <v>2.0</v>
      </c>
      <c r="M24" s="30">
        <v>3.0</v>
      </c>
      <c r="N24" s="31">
        <v>200000.0</v>
      </c>
      <c r="O24" s="32">
        <f t="shared" si="8"/>
        <v>1380000</v>
      </c>
      <c r="P24" s="21">
        <f t="shared" si="5"/>
        <v>5037000</v>
      </c>
      <c r="Q24" s="20">
        <v>0.33</v>
      </c>
      <c r="R24" s="21">
        <f t="shared" si="6"/>
        <v>7517910.448</v>
      </c>
      <c r="S24" s="18" t="s">
        <v>51</v>
      </c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33" t="s">
        <v>52</v>
      </c>
      <c r="B26" s="34"/>
      <c r="C26" s="34"/>
      <c r="D26" s="34"/>
      <c r="E26" s="34"/>
      <c r="F26" s="34"/>
      <c r="G26" s="34"/>
      <c r="H26" s="34"/>
      <c r="I26" s="34"/>
      <c r="J26" s="35"/>
      <c r="K26" s="36"/>
      <c r="L26" s="36"/>
      <c r="M26" s="37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75" customHeight="1">
      <c r="A27" s="27" t="s">
        <v>53</v>
      </c>
      <c r="B27" s="27" t="s">
        <v>54</v>
      </c>
      <c r="C27" s="27" t="s">
        <v>55</v>
      </c>
      <c r="D27" s="27" t="s">
        <v>56</v>
      </c>
      <c r="E27" s="38" t="s">
        <v>57</v>
      </c>
      <c r="F27" s="38" t="s">
        <v>58</v>
      </c>
      <c r="G27" s="38" t="s">
        <v>59</v>
      </c>
      <c r="H27" s="38" t="s">
        <v>60</v>
      </c>
      <c r="I27" s="27" t="s">
        <v>61</v>
      </c>
      <c r="J27" s="27" t="s">
        <v>62</v>
      </c>
      <c r="K27" s="39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9.25" customHeight="1">
      <c r="A28" s="24" t="s">
        <v>63</v>
      </c>
      <c r="B28" s="24" t="s">
        <v>64</v>
      </c>
      <c r="C28" s="18"/>
      <c r="D28" s="40">
        <v>1049.0</v>
      </c>
      <c r="E28" s="41">
        <v>3211.0</v>
      </c>
      <c r="F28" s="42">
        <f t="shared" ref="F28:F37" si="9">E28*D28</f>
        <v>3368339</v>
      </c>
      <c r="G28" s="43">
        <v>0.19</v>
      </c>
      <c r="H28" s="44">
        <v>1.0</v>
      </c>
      <c r="I28" s="24">
        <v>4.0</v>
      </c>
      <c r="J28" s="40">
        <f t="shared" ref="J28:J37" si="10">F28*(I28/H28)</f>
        <v>13473356</v>
      </c>
      <c r="K28" s="3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24" t="s">
        <v>65</v>
      </c>
      <c r="B29" s="24" t="s">
        <v>66</v>
      </c>
      <c r="C29" s="24" t="s">
        <v>67</v>
      </c>
      <c r="D29" s="40">
        <v>278.0</v>
      </c>
      <c r="E29" s="41">
        <v>3602.0</v>
      </c>
      <c r="F29" s="42">
        <f t="shared" si="9"/>
        <v>1001356</v>
      </c>
      <c r="G29" s="43">
        <v>0.19</v>
      </c>
      <c r="H29" s="44">
        <v>12.0</v>
      </c>
      <c r="I29" s="24">
        <v>10.0</v>
      </c>
      <c r="J29" s="40">
        <f t="shared" si="10"/>
        <v>834463.3333</v>
      </c>
      <c r="K29" s="3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24" t="s">
        <v>68</v>
      </c>
      <c r="B30" s="24" t="s">
        <v>69</v>
      </c>
      <c r="C30" s="18"/>
      <c r="D30" s="40">
        <v>0.0</v>
      </c>
      <c r="E30" s="41">
        <v>0.0</v>
      </c>
      <c r="F30" s="42">
        <f t="shared" si="9"/>
        <v>0</v>
      </c>
      <c r="G30" s="43">
        <v>0.19</v>
      </c>
      <c r="H30" s="44">
        <v>1.0</v>
      </c>
      <c r="I30" s="24">
        <v>4.0</v>
      </c>
      <c r="J30" s="40">
        <f t="shared" si="10"/>
        <v>0</v>
      </c>
      <c r="K30" s="39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24" t="s">
        <v>70</v>
      </c>
      <c r="B31" s="24" t="s">
        <v>71</v>
      </c>
      <c r="C31" s="24" t="s">
        <v>72</v>
      </c>
      <c r="D31" s="40">
        <v>260.0</v>
      </c>
      <c r="E31" s="41">
        <v>3211.0</v>
      </c>
      <c r="F31" s="42">
        <f t="shared" si="9"/>
        <v>834860</v>
      </c>
      <c r="G31" s="43">
        <v>0.19</v>
      </c>
      <c r="H31" s="44">
        <v>1.0</v>
      </c>
      <c r="I31" s="24">
        <v>2.0</v>
      </c>
      <c r="J31" s="40">
        <f t="shared" si="10"/>
        <v>1669720</v>
      </c>
      <c r="K31" s="39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24" t="s">
        <v>73</v>
      </c>
      <c r="B32" s="24" t="s">
        <v>74</v>
      </c>
      <c r="C32" s="18"/>
      <c r="D32" s="40">
        <v>840.0</v>
      </c>
      <c r="E32" s="41">
        <v>3211.0</v>
      </c>
      <c r="F32" s="42">
        <f t="shared" si="9"/>
        <v>2697240</v>
      </c>
      <c r="G32" s="43">
        <v>0.19</v>
      </c>
      <c r="H32" s="44">
        <v>1.0</v>
      </c>
      <c r="I32" s="24">
        <v>10.0</v>
      </c>
      <c r="J32" s="40">
        <f t="shared" si="10"/>
        <v>26972400</v>
      </c>
      <c r="K32" s="3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5" t="s">
        <v>75</v>
      </c>
      <c r="B33" s="24" t="s">
        <v>76</v>
      </c>
      <c r="C33" s="18"/>
      <c r="D33" s="40">
        <v>0.0</v>
      </c>
      <c r="E33" s="41">
        <v>3211.0</v>
      </c>
      <c r="F33" s="42">
        <f t="shared" si="9"/>
        <v>0</v>
      </c>
      <c r="G33" s="43">
        <v>0.19</v>
      </c>
      <c r="H33" s="44">
        <v>1.0</v>
      </c>
      <c r="I33" s="24"/>
      <c r="J33" s="40">
        <f t="shared" si="10"/>
        <v>0</v>
      </c>
      <c r="K33" s="39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24" t="s">
        <v>77</v>
      </c>
      <c r="B34" s="24" t="s">
        <v>78</v>
      </c>
      <c r="C34" s="18"/>
      <c r="D34" s="40">
        <v>37.78</v>
      </c>
      <c r="E34" s="41">
        <v>3602.0</v>
      </c>
      <c r="F34" s="42">
        <f t="shared" si="9"/>
        <v>136083.56</v>
      </c>
      <c r="G34" s="43">
        <v>0.19</v>
      </c>
      <c r="H34" s="44">
        <v>12.0</v>
      </c>
      <c r="I34" s="24">
        <v>12.0</v>
      </c>
      <c r="J34" s="40">
        <f t="shared" si="10"/>
        <v>136083.56</v>
      </c>
      <c r="K34" s="39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8"/>
      <c r="B35" s="18"/>
      <c r="C35" s="18"/>
      <c r="D35" s="46"/>
      <c r="E35" s="41"/>
      <c r="F35" s="42">
        <f t="shared" si="9"/>
        <v>0</v>
      </c>
      <c r="G35" s="47"/>
      <c r="H35" s="44">
        <v>1.0</v>
      </c>
      <c r="I35" s="24"/>
      <c r="J35" s="40">
        <f t="shared" si="10"/>
        <v>0</v>
      </c>
      <c r="K35" s="39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8"/>
      <c r="B36" s="18"/>
      <c r="C36" s="18"/>
      <c r="D36" s="46"/>
      <c r="E36" s="41"/>
      <c r="F36" s="42">
        <f t="shared" si="9"/>
        <v>0</v>
      </c>
      <c r="G36" s="47"/>
      <c r="H36" s="44">
        <v>1.0</v>
      </c>
      <c r="I36" s="24"/>
      <c r="J36" s="40">
        <f t="shared" si="10"/>
        <v>0</v>
      </c>
      <c r="K36" s="39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8"/>
      <c r="B37" s="18"/>
      <c r="C37" s="18"/>
      <c r="D37" s="46"/>
      <c r="E37" s="41"/>
      <c r="F37" s="42">
        <f t="shared" si="9"/>
        <v>0</v>
      </c>
      <c r="G37" s="47"/>
      <c r="H37" s="44">
        <v>1.0</v>
      </c>
      <c r="I37" s="24"/>
      <c r="J37" s="40">
        <f t="shared" si="10"/>
        <v>0</v>
      </c>
      <c r="K37" s="39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33" t="s">
        <v>79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48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6" t="s">
        <v>80</v>
      </c>
      <c r="B40" s="16" t="s">
        <v>81</v>
      </c>
      <c r="C40" s="16" t="s">
        <v>82</v>
      </c>
      <c r="D40" s="16" t="s">
        <v>83</v>
      </c>
      <c r="E40" s="49" t="s">
        <v>84</v>
      </c>
      <c r="F40" s="49" t="s">
        <v>85</v>
      </c>
      <c r="G40" s="16" t="s">
        <v>86</v>
      </c>
      <c r="H40" s="16" t="s">
        <v>87</v>
      </c>
      <c r="I40" s="16" t="s">
        <v>88</v>
      </c>
      <c r="J40" s="16" t="s">
        <v>89</v>
      </c>
      <c r="K40" s="16" t="s">
        <v>90</v>
      </c>
      <c r="L40" s="16" t="s">
        <v>36</v>
      </c>
      <c r="M40" s="16" t="s">
        <v>91</v>
      </c>
      <c r="N40" s="16" t="s">
        <v>92</v>
      </c>
      <c r="O40" s="27" t="s">
        <v>93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0" t="s">
        <v>94</v>
      </c>
      <c r="B41" s="51" t="s">
        <v>95</v>
      </c>
      <c r="C41" s="32">
        <v>2.43E9</v>
      </c>
      <c r="D41" s="19">
        <f>1400*E31+C41*0.01</f>
        <v>28795400</v>
      </c>
      <c r="E41" s="52">
        <v>0.01</v>
      </c>
      <c r="F41" s="53">
        <f>(C41+D41)*E41</f>
        <v>24587954</v>
      </c>
      <c r="G41" s="21">
        <f>C41+D41+F41</f>
        <v>2483383354</v>
      </c>
      <c r="H41" s="11">
        <v>0.0</v>
      </c>
      <c r="I41" s="21">
        <f t="shared" ref="I41:I45" si="11">G41*H41</f>
        <v>0</v>
      </c>
      <c r="J41" s="32">
        <v>2.5E7</v>
      </c>
      <c r="K41" s="21">
        <f t="shared" ref="K41:K45" si="12">G41+I41+J41</f>
        <v>2508383354</v>
      </c>
      <c r="L41" s="54">
        <v>0.2</v>
      </c>
      <c r="M41" s="11">
        <v>0.19</v>
      </c>
      <c r="N41" s="21">
        <f t="shared" ref="N41:N45" si="13">(G41+I41)*M41</f>
        <v>471842837.3</v>
      </c>
      <c r="O41" s="21">
        <f t="shared" ref="O41:O45" si="14">K41/(1-L41)</f>
        <v>3135479193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5" t="s">
        <v>96</v>
      </c>
      <c r="B42" s="55" t="s">
        <v>97</v>
      </c>
      <c r="C42" s="19">
        <v>0.0</v>
      </c>
      <c r="D42" s="19">
        <v>0.0</v>
      </c>
      <c r="E42" s="56"/>
      <c r="F42" s="53"/>
      <c r="G42" s="21">
        <f t="shared" ref="G42:G45" si="15">C42+D42</f>
        <v>0</v>
      </c>
      <c r="H42" s="11">
        <v>0.0</v>
      </c>
      <c r="I42" s="21">
        <f t="shared" si="11"/>
        <v>0</v>
      </c>
      <c r="J42" s="19">
        <v>0.0</v>
      </c>
      <c r="K42" s="21">
        <f t="shared" si="12"/>
        <v>0</v>
      </c>
      <c r="L42" s="54">
        <v>0.2</v>
      </c>
      <c r="M42" s="11">
        <v>0.19</v>
      </c>
      <c r="N42" s="21">
        <f t="shared" si="13"/>
        <v>0</v>
      </c>
      <c r="O42" s="21">
        <f t="shared" si="14"/>
        <v>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5" t="s">
        <v>98</v>
      </c>
      <c r="B43" s="55" t="s">
        <v>97</v>
      </c>
      <c r="C43" s="19">
        <v>0.0</v>
      </c>
      <c r="D43" s="19">
        <v>0.0</v>
      </c>
      <c r="E43" s="56"/>
      <c r="F43" s="53"/>
      <c r="G43" s="21">
        <f t="shared" si="15"/>
        <v>0</v>
      </c>
      <c r="H43" s="11">
        <v>0.0</v>
      </c>
      <c r="I43" s="21">
        <f t="shared" si="11"/>
        <v>0</v>
      </c>
      <c r="J43" s="19">
        <v>0.0</v>
      </c>
      <c r="K43" s="21">
        <f t="shared" si="12"/>
        <v>0</v>
      </c>
      <c r="L43" s="54">
        <v>0.2</v>
      </c>
      <c r="M43" s="11">
        <v>0.19</v>
      </c>
      <c r="N43" s="21">
        <f t="shared" si="13"/>
        <v>0</v>
      </c>
      <c r="O43" s="21">
        <f t="shared" si="14"/>
        <v>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5" t="s">
        <v>99</v>
      </c>
      <c r="B44" s="55" t="s">
        <v>97</v>
      </c>
      <c r="C44" s="19">
        <v>0.0</v>
      </c>
      <c r="D44" s="19">
        <v>0.0</v>
      </c>
      <c r="E44" s="56"/>
      <c r="F44" s="53"/>
      <c r="G44" s="21">
        <f t="shared" si="15"/>
        <v>0</v>
      </c>
      <c r="H44" s="11">
        <v>0.0</v>
      </c>
      <c r="I44" s="21">
        <f t="shared" si="11"/>
        <v>0</v>
      </c>
      <c r="J44" s="19">
        <v>0.0</v>
      </c>
      <c r="K44" s="21">
        <f t="shared" si="12"/>
        <v>0</v>
      </c>
      <c r="L44" s="54">
        <v>0.2</v>
      </c>
      <c r="M44" s="11">
        <v>0.19</v>
      </c>
      <c r="N44" s="21">
        <f t="shared" si="13"/>
        <v>0</v>
      </c>
      <c r="O44" s="21">
        <f t="shared" si="14"/>
        <v>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5" t="s">
        <v>100</v>
      </c>
      <c r="B45" s="55" t="s">
        <v>97</v>
      </c>
      <c r="C45" s="19">
        <v>0.0</v>
      </c>
      <c r="D45" s="19">
        <v>0.0</v>
      </c>
      <c r="E45" s="56"/>
      <c r="F45" s="53"/>
      <c r="G45" s="21">
        <f t="shared" si="15"/>
        <v>0</v>
      </c>
      <c r="H45" s="11">
        <v>0.0</v>
      </c>
      <c r="I45" s="21">
        <f t="shared" si="11"/>
        <v>0</v>
      </c>
      <c r="J45" s="19">
        <v>0.0</v>
      </c>
      <c r="K45" s="21">
        <f t="shared" si="12"/>
        <v>0</v>
      </c>
      <c r="L45" s="54">
        <v>0.2</v>
      </c>
      <c r="M45" s="11">
        <v>0.19</v>
      </c>
      <c r="N45" s="21">
        <f t="shared" si="13"/>
        <v>0</v>
      </c>
      <c r="O45" s="21">
        <f t="shared" si="14"/>
        <v>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7" t="s">
        <v>101</v>
      </c>
      <c r="B48" s="7"/>
      <c r="C48" s="7"/>
      <c r="D48" s="7"/>
      <c r="E48" s="8"/>
      <c r="F48" s="15"/>
      <c r="G48" s="15"/>
      <c r="H48" s="15"/>
      <c r="I48" s="15"/>
      <c r="J48" s="15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0" customHeight="1">
      <c r="A49" s="58" t="s">
        <v>102</v>
      </c>
      <c r="B49" s="7"/>
      <c r="C49" s="8"/>
      <c r="D49" s="59">
        <f>SUM(R19:R24)</f>
        <v>451884515.3</v>
      </c>
      <c r="E49" s="8"/>
      <c r="F49" s="25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0" customHeight="1">
      <c r="A50" s="58" t="s">
        <v>103</v>
      </c>
      <c r="B50" s="7"/>
      <c r="C50" s="8"/>
      <c r="D50" s="59">
        <f>SUM(O41:O45)+SUM(J28:J37)</f>
        <v>3178565215</v>
      </c>
      <c r="E50" s="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0" customHeight="1">
      <c r="A51" s="58" t="s">
        <v>104</v>
      </c>
      <c r="B51" s="7"/>
      <c r="C51" s="8"/>
      <c r="D51" s="60">
        <f>D49+D50</f>
        <v>3630449731</v>
      </c>
      <c r="E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8" t="s">
        <v>105</v>
      </c>
      <c r="B52" s="7"/>
      <c r="C52" s="8"/>
      <c r="D52" s="59">
        <f>D51*$F$4</f>
        <v>689785448.8</v>
      </c>
      <c r="E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8" t="s">
        <v>106</v>
      </c>
      <c r="B53" s="7"/>
      <c r="C53" s="8"/>
      <c r="D53" s="60">
        <f>D51+D52</f>
        <v>4320235180</v>
      </c>
      <c r="E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0" customHeight="1">
      <c r="A54" s="58" t="s">
        <v>107</v>
      </c>
      <c r="B54" s="7"/>
      <c r="C54" s="8"/>
      <c r="D54" s="59">
        <f>SUM(P19:P24)</f>
        <v>304657890.3</v>
      </c>
      <c r="E54" s="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41.25" customHeight="1">
      <c r="A55" s="58" t="s">
        <v>108</v>
      </c>
      <c r="B55" s="7"/>
      <c r="C55" s="8"/>
      <c r="D55" s="59">
        <f>SUM(K41:K45)</f>
        <v>2508383354</v>
      </c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0" customHeight="1">
      <c r="A56" s="58" t="s">
        <v>109</v>
      </c>
      <c r="B56" s="7"/>
      <c r="C56" s="8"/>
      <c r="D56" s="59">
        <f>D51-D54-D55</f>
        <v>817408486.4</v>
      </c>
      <c r="E56" s="8"/>
      <c r="F56" s="25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0" customHeight="1">
      <c r="A57" s="58" t="s">
        <v>110</v>
      </c>
      <c r="B57" s="7"/>
      <c r="C57" s="8"/>
      <c r="D57" s="61">
        <f>D56/D51</f>
        <v>0.2251535063</v>
      </c>
      <c r="E57" s="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0" customHeight="1">
      <c r="A58" s="58" t="s">
        <v>111</v>
      </c>
      <c r="B58" s="7"/>
      <c r="C58" s="8"/>
      <c r="D58" s="59">
        <f>SUM(P19:P24)*$H$4</f>
        <v>15232894.52</v>
      </c>
      <c r="E58" s="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8"/>
      <c r="B59" s="7"/>
      <c r="C59" s="8"/>
      <c r="D59" s="59"/>
      <c r="E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62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4.2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4.2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4.2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4.2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4.2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38">
    <mergeCell ref="A1:J1"/>
    <mergeCell ref="B3:D3"/>
    <mergeCell ref="F3:J3"/>
    <mergeCell ref="A6:G6"/>
    <mergeCell ref="H8:J8"/>
    <mergeCell ref="H9:J9"/>
    <mergeCell ref="H10:J10"/>
    <mergeCell ref="H11:J11"/>
    <mergeCell ref="H12:J12"/>
    <mergeCell ref="A17:P17"/>
    <mergeCell ref="A26:J26"/>
    <mergeCell ref="A39:M39"/>
    <mergeCell ref="A48:E48"/>
    <mergeCell ref="A49:C49"/>
    <mergeCell ref="D55:E55"/>
    <mergeCell ref="D56:E56"/>
    <mergeCell ref="F56:J60"/>
    <mergeCell ref="D57:E57"/>
    <mergeCell ref="D58:E58"/>
    <mergeCell ref="D59:E59"/>
    <mergeCell ref="D60:E60"/>
    <mergeCell ref="D49:E49"/>
    <mergeCell ref="F49:J54"/>
    <mergeCell ref="D50:E50"/>
    <mergeCell ref="D51:E51"/>
    <mergeCell ref="D52:E52"/>
    <mergeCell ref="D53:E53"/>
    <mergeCell ref="D54:E54"/>
    <mergeCell ref="A57:C57"/>
    <mergeCell ref="A58:C58"/>
    <mergeCell ref="A59:C59"/>
    <mergeCell ref="A50:C50"/>
    <mergeCell ref="A51:C51"/>
    <mergeCell ref="A52:C52"/>
    <mergeCell ref="A53:C53"/>
    <mergeCell ref="A54:C54"/>
    <mergeCell ref="A55:C55"/>
    <mergeCell ref="A56:C56"/>
  </mergeCells>
  <conditionalFormatting sqref="H40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5" footer="0.0" header="0.0" left="0.25" right="0.2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29"/>
    <col customWidth="1" min="2" max="2" width="26.57"/>
    <col customWidth="1" min="3" max="3" width="16.29"/>
    <col customWidth="1" min="4" max="4" width="18.29"/>
    <col customWidth="1" min="5" max="5" width="16.71"/>
    <col customWidth="1" min="6" max="6" width="32.86"/>
    <col customWidth="1" min="7" max="26" width="8.86"/>
  </cols>
  <sheetData>
    <row r="1" ht="30.0" customHeight="1">
      <c r="A1" s="63" t="s">
        <v>112</v>
      </c>
      <c r="B1" s="2"/>
      <c r="C1" s="2"/>
      <c r="D1" s="2"/>
      <c r="E1" s="2"/>
      <c r="F1" s="3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ht="14.25" customHeigh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ht="14.25" customHeight="1">
      <c r="A3" s="65" t="s">
        <v>1</v>
      </c>
      <c r="B3" s="66" t="str">
        <f>'Calculos internos'!B3</f>
        <v>Lácteos Altos de Teusacá</v>
      </c>
      <c r="C3" s="8"/>
      <c r="D3" s="65" t="s">
        <v>113</v>
      </c>
      <c r="E3" s="67">
        <f>'Calculos internos'!B4</f>
        <v>46305</v>
      </c>
      <c r="F3" s="8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ht="14.25" customHeight="1">
      <c r="A4" s="65" t="s">
        <v>3</v>
      </c>
      <c r="B4" s="66" t="str">
        <f>'Calculos internos'!F3</f>
        <v>Automatización de línea de producción láctea (3 productos)</v>
      </c>
      <c r="C4" s="7"/>
      <c r="D4" s="7"/>
      <c r="E4" s="7"/>
      <c r="F4" s="8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ht="14.25" customHeight="1">
      <c r="A5" s="65" t="s">
        <v>114</v>
      </c>
      <c r="B5" s="66" t="str">
        <f>'Calculos internos'!D4&amp;" días"</f>
        <v>30 días</v>
      </c>
      <c r="C5" s="8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4.25" customHeight="1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ht="14.25" customHeight="1">
      <c r="A7" s="68" t="s">
        <v>115</v>
      </c>
      <c r="B7" s="7"/>
      <c r="C7" s="7"/>
      <c r="D7" s="7"/>
      <c r="E7" s="7"/>
      <c r="F7" s="8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ht="14.25" customHeight="1">
      <c r="A8" s="69" t="s">
        <v>116</v>
      </c>
      <c r="B8" s="69" t="s">
        <v>117</v>
      </c>
      <c r="C8" s="69" t="s">
        <v>118</v>
      </c>
      <c r="D8" s="69" t="s">
        <v>119</v>
      </c>
      <c r="E8" s="69" t="s">
        <v>120</v>
      </c>
      <c r="F8" s="69" t="s">
        <v>121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ht="14.25" customHeight="1">
      <c r="A9" s="70">
        <v>1.0</v>
      </c>
      <c r="B9" s="70" t="s">
        <v>39</v>
      </c>
      <c r="C9" s="71">
        <v>1.0</v>
      </c>
      <c r="D9" s="72">
        <f>'Calculos internos'!R19</f>
        <v>77238181.82</v>
      </c>
      <c r="E9" s="72">
        <f t="shared" ref="E9:E15" si="1">C9*D9</f>
        <v>77238181.82</v>
      </c>
      <c r="F9" s="70" t="s">
        <v>122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ht="14.25" customHeight="1">
      <c r="A10" s="70">
        <v>2.0</v>
      </c>
      <c r="B10" s="70" t="s">
        <v>42</v>
      </c>
      <c r="C10" s="71">
        <v>1.0</v>
      </c>
      <c r="D10" s="72">
        <f>'Calculos internos'!R20+SUM('Calculos internos'!J28:J37)</f>
        <v>101088484.4</v>
      </c>
      <c r="E10" s="72">
        <f t="shared" si="1"/>
        <v>101088484.4</v>
      </c>
      <c r="F10" s="70" t="s">
        <v>123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ht="14.25" customHeight="1">
      <c r="A11" s="70">
        <v>3.0</v>
      </c>
      <c r="B11" s="70" t="s">
        <v>44</v>
      </c>
      <c r="C11" s="71">
        <v>1.0</v>
      </c>
      <c r="D11" s="72">
        <f>'Calculos internos'!R21</f>
        <v>8492307.692</v>
      </c>
      <c r="E11" s="72">
        <f t="shared" si="1"/>
        <v>8492307.692</v>
      </c>
      <c r="F11" s="70" t="s">
        <v>124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ht="14.25" customHeight="1">
      <c r="A12" s="70">
        <v>4.0</v>
      </c>
      <c r="B12" s="70" t="s">
        <v>125</v>
      </c>
      <c r="C12" s="71">
        <v>1.0</v>
      </c>
      <c r="D12" s="72">
        <f>'Calculos internos'!R22</f>
        <v>49560285.71</v>
      </c>
      <c r="E12" s="72">
        <f t="shared" si="1"/>
        <v>49560285.71</v>
      </c>
      <c r="F12" s="70" t="s">
        <v>126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ht="14.25" customHeight="1">
      <c r="A13" s="70">
        <v>5.0</v>
      </c>
      <c r="B13" s="70" t="s">
        <v>48</v>
      </c>
      <c r="C13" s="71">
        <v>1.0</v>
      </c>
      <c r="D13" s="72">
        <f>'Calculos internos'!R23</f>
        <v>251073368.1</v>
      </c>
      <c r="E13" s="72">
        <f t="shared" si="1"/>
        <v>251073368.1</v>
      </c>
      <c r="F13" s="70" t="s">
        <v>127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ht="14.25" customHeight="1">
      <c r="A14" s="70">
        <v>6.0</v>
      </c>
      <c r="B14" s="70" t="s">
        <v>128</v>
      </c>
      <c r="C14" s="73">
        <v>1.0</v>
      </c>
      <c r="D14" s="72">
        <f>SUM('Calculos internos'!O41:O45)</f>
        <v>3135479193</v>
      </c>
      <c r="E14" s="72">
        <f t="shared" si="1"/>
        <v>3135479193</v>
      </c>
      <c r="F14" s="74" t="s">
        <v>129</v>
      </c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14.25" customHeight="1">
      <c r="A15" s="70">
        <v>7.0</v>
      </c>
      <c r="B15" s="70" t="s">
        <v>130</v>
      </c>
      <c r="C15" s="71">
        <v>1.0</v>
      </c>
      <c r="D15" s="72">
        <f>'Calculos internos'!R24</f>
        <v>7517910.448</v>
      </c>
      <c r="E15" s="72">
        <f t="shared" si="1"/>
        <v>7517910.448</v>
      </c>
      <c r="F15" s="74" t="s">
        <v>131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14.25" customHeight="1">
      <c r="A16" s="74">
        <v>8.0</v>
      </c>
      <c r="B16" s="70"/>
      <c r="C16" s="71"/>
      <c r="D16" s="72"/>
      <c r="E16" s="72"/>
      <c r="F16" s="7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14.25" customHeight="1">
      <c r="A17" s="74">
        <v>9.0</v>
      </c>
      <c r="B17" s="70"/>
      <c r="C17" s="71"/>
      <c r="D17" s="72"/>
      <c r="E17" s="72"/>
      <c r="F17" s="7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4.25" customHeight="1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ht="14.25" customHeight="1">
      <c r="A19" s="64"/>
      <c r="B19" s="64"/>
      <c r="C19" s="64"/>
      <c r="D19" s="65" t="s">
        <v>132</v>
      </c>
      <c r="E19" s="75">
        <f>SUM(E9:E15)</f>
        <v>3630449731</v>
      </c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ht="14.25" customHeight="1">
      <c r="A20" s="64"/>
      <c r="B20" s="64"/>
      <c r="C20" s="64"/>
      <c r="D20" s="76" t="s">
        <v>133</v>
      </c>
      <c r="E20" s="75">
        <f>'Calculos internos'!D58</f>
        <v>15232894.52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ht="14.25" customHeight="1">
      <c r="A21" s="64"/>
      <c r="B21" s="64"/>
      <c r="C21" s="64"/>
      <c r="D21" s="76" t="s">
        <v>134</v>
      </c>
      <c r="E21" s="75">
        <f>E20+E19</f>
        <v>3645682625</v>
      </c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ht="14.25" customHeight="1">
      <c r="A22" s="64"/>
      <c r="B22" s="64"/>
      <c r="C22" s="64"/>
      <c r="D22" s="65" t="s">
        <v>135</v>
      </c>
      <c r="E22" s="72">
        <f>E21*'Calculos internos'!F4</f>
        <v>692679698.8</v>
      </c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ht="14.25" customHeight="1">
      <c r="A23" s="64"/>
      <c r="B23" s="64"/>
      <c r="C23" s="64"/>
      <c r="D23" s="77" t="s">
        <v>136</v>
      </c>
      <c r="E23" s="77">
        <f>E21+E22</f>
        <v>4338362324</v>
      </c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ht="14.25" customHeight="1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ht="14.25" customHeight="1">
      <c r="A25" s="68" t="s">
        <v>137</v>
      </c>
      <c r="B25" s="7"/>
      <c r="C25" s="7"/>
      <c r="D25" s="7"/>
      <c r="E25" s="7"/>
      <c r="F25" s="8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ht="14.25" customHeight="1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ht="30.0" customHeight="1">
      <c r="A27" s="78" t="s">
        <v>138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ht="30.0" customHeight="1">
      <c r="A28" s="78" t="s">
        <v>139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ht="30.0" customHeight="1">
      <c r="A29" s="78" t="s">
        <v>140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ht="30.0" customHeight="1">
      <c r="A30" s="78" t="s">
        <v>141</v>
      </c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ht="30.0" customHeight="1">
      <c r="A31" s="78" t="s">
        <v>142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ht="30.0" customHeight="1">
      <c r="A32" s="78" t="s">
        <v>143</v>
      </c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ht="14.25" customHeight="1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ht="14.25" customHeight="1">
      <c r="A34" s="78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ht="14.25" customHeight="1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ht="14.25" customHeight="1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ht="14.25" customHeight="1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ht="14.25" customHeight="1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ht="14.25" customHeight="1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ht="14.25" customHeight="1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ht="14.25" customHeight="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ht="14.25" customHeight="1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ht="14.25" customHeight="1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ht="14.25" customHeight="1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ht="14.25" customHeigh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ht="14.25" customHeight="1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ht="14.25" customHeight="1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ht="14.25" customHeight="1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ht="14.25" customHeight="1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ht="14.25" customHeight="1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ht="14.25" customHeight="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ht="14.25" customHeight="1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ht="14.25" customHeight="1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ht="14.25" customHeight="1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ht="14.25" customHeight="1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ht="14.25" customHeight="1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ht="14.25" customHeight="1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ht="14.25" customHeight="1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ht="14.25" customHeight="1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ht="14.25" customHeight="1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ht="14.25" customHeight="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ht="14.25" customHeight="1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ht="14.25" customHeight="1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ht="14.25" customHeight="1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ht="14.25" customHeight="1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ht="14.25" customHeight="1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ht="14.25" customHeight="1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ht="14.25" customHeight="1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ht="14.25" customHeight="1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ht="14.25" customHeight="1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ht="14.25" customHeight="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ht="14.25" customHeight="1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ht="14.25" customHeight="1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ht="14.25" customHeight="1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ht="14.25" customHeight="1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ht="14.25" customHeight="1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ht="14.25" customHeight="1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ht="14.25" customHeight="1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ht="14.25" customHeight="1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ht="14.25" customHeight="1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ht="14.25" customHeight="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ht="14.25" customHeight="1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ht="14.25" customHeight="1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ht="14.25" customHeight="1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ht="14.25" customHeight="1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ht="14.25" customHeight="1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ht="14.25" customHeight="1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ht="14.25" customHeight="1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ht="14.2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ht="14.2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ht="14.25" customHeight="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ht="14.25" customHeight="1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ht="14.25" customHeight="1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ht="14.25" customHeight="1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ht="14.25" customHeight="1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ht="14.25" customHeight="1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ht="14.25" customHeight="1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ht="14.2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ht="14.25" customHeight="1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ht="14.2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ht="14.25" customHeight="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ht="14.2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ht="14.25" customHeight="1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ht="14.25" customHeight="1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ht="14.25" customHeight="1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ht="14.2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ht="14.25" customHeight="1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ht="14.25" customHeight="1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ht="14.25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ht="14.25" customHeight="1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ht="14.25" customHeight="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ht="14.25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ht="14.25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ht="14.25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ht="14.25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ht="14.25" customHeight="1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ht="14.25" customHeight="1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ht="14.25" customHeight="1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ht="14.25" customHeight="1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ht="14.25" customHeight="1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ht="14.25" customHeight="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ht="14.25" customHeight="1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ht="14.25" customHeight="1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ht="14.25" customHeight="1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ht="14.25" customHeight="1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ht="14.25" customHeight="1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ht="14.25" customHeight="1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ht="14.25" customHeight="1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ht="14.25" customHeight="1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ht="14.25" customHeight="1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ht="14.25" customHeight="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ht="14.25" customHeight="1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ht="14.25" customHeight="1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ht="14.25" customHeight="1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ht="14.25" customHeight="1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ht="14.25" customHeight="1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ht="14.25" customHeight="1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ht="14.25" customHeight="1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ht="14.25" customHeight="1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ht="14.25" customHeight="1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ht="14.25" customHeight="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ht="14.25" customHeight="1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ht="14.25" customHeight="1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ht="14.25" customHeight="1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ht="14.25" customHeight="1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ht="14.25" customHeight="1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ht="14.25" customHeight="1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ht="14.25" customHeight="1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ht="14.25" customHeight="1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ht="14.25" customHeight="1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ht="14.25" customHeight="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ht="14.25" customHeight="1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ht="14.25" customHeight="1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ht="14.25" customHeight="1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ht="14.25" customHeight="1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ht="14.25" customHeight="1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ht="14.25" customHeight="1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ht="14.25" customHeight="1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ht="14.25" customHeight="1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ht="14.25" customHeight="1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ht="14.25" customHeight="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ht="14.25" customHeight="1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ht="14.25" customHeight="1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ht="14.25" customHeight="1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ht="14.25" customHeight="1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ht="14.25" customHeight="1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ht="14.25" customHeight="1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ht="14.25" customHeight="1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ht="14.25" customHeight="1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ht="14.25" customHeight="1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ht="14.25" customHeight="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ht="14.25" customHeight="1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ht="14.25" customHeight="1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ht="14.25" customHeight="1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ht="14.25" customHeight="1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ht="14.25" customHeight="1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ht="14.25" customHeight="1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ht="14.25" customHeight="1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ht="14.25" customHeight="1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ht="14.25" customHeight="1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ht="14.25" customHeight="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ht="14.25" customHeight="1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ht="14.25" customHeight="1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ht="14.25" customHeight="1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ht="14.25" customHeight="1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ht="14.25" customHeight="1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ht="14.25" customHeight="1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ht="14.25" customHeight="1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ht="14.25" customHeight="1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ht="14.25" customHeight="1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ht="14.25" customHeight="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ht="14.25" customHeight="1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ht="14.25" customHeight="1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ht="14.25" customHeight="1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ht="14.25" customHeight="1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ht="14.25" customHeight="1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ht="14.25" customHeight="1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ht="14.25" customHeight="1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ht="14.25" customHeight="1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ht="14.25" customHeight="1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ht="14.25" customHeight="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ht="14.25" customHeight="1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ht="14.25" customHeight="1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ht="14.25" customHeight="1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ht="14.25" customHeight="1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ht="14.25" customHeight="1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ht="14.25" customHeight="1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ht="14.25" customHeight="1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ht="14.25" customHeight="1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ht="14.25" customHeight="1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ht="14.25" customHeight="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ht="14.25" customHeight="1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ht="14.25" customHeight="1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ht="14.25" customHeight="1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ht="14.25" customHeight="1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ht="14.25" customHeight="1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ht="14.25" customHeight="1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ht="14.25" customHeight="1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ht="14.25" customHeight="1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ht="14.25" customHeight="1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ht="14.25" customHeight="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ht="14.25" customHeight="1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ht="14.25" customHeight="1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ht="14.25" customHeight="1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ht="14.25" customHeight="1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ht="14.25" customHeight="1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ht="14.25" customHeight="1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ht="14.25" customHeight="1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ht="14.25" customHeight="1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ht="14.25" customHeight="1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ht="14.25" customHeight="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ht="14.25" customHeight="1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ht="14.25" customHeight="1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ht="14.25" customHeight="1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ht="14.25" customHeight="1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ht="14.25" customHeight="1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ht="14.25" customHeight="1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ht="14.25" customHeight="1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ht="14.25" customHeight="1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ht="14.25" customHeight="1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ht="14.25" customHeight="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ht="14.25" customHeight="1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ht="14.25" customHeight="1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ht="14.25" customHeight="1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ht="14.25" customHeight="1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ht="14.25" customHeight="1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ht="14.25" customHeight="1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ht="14.25" customHeight="1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ht="14.25" customHeight="1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ht="14.25" customHeight="1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ht="14.25" customHeight="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ht="14.25" customHeight="1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ht="14.25" customHeight="1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ht="14.25" customHeight="1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ht="14.25" customHeight="1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ht="14.25" customHeight="1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ht="14.25" customHeight="1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ht="14.25" customHeight="1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ht="14.25" customHeight="1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ht="14.25" customHeight="1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ht="14.25" customHeight="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ht="14.25" customHeight="1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ht="14.25" customHeight="1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ht="14.25" customHeight="1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ht="14.25" customHeight="1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ht="14.25" customHeight="1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ht="14.25" customHeight="1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ht="14.25" customHeight="1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ht="14.25" customHeight="1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ht="14.25" customHeight="1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ht="14.25" customHeight="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ht="14.25" customHeight="1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ht="14.25" customHeight="1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ht="14.25" customHeight="1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ht="14.25" customHeight="1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ht="14.25" customHeight="1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ht="14.25" customHeight="1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ht="14.25" customHeight="1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ht="14.25" customHeight="1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ht="14.25" customHeight="1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ht="14.25" customHeight="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ht="14.25" customHeight="1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ht="14.25" customHeight="1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ht="14.25" customHeight="1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ht="14.25" customHeight="1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ht="14.25" customHeight="1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ht="14.25" customHeight="1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ht="14.25" customHeight="1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ht="14.25" customHeight="1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ht="14.25" customHeight="1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ht="14.25" customHeight="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ht="14.25" customHeight="1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ht="14.25" customHeight="1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ht="14.25" customHeight="1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ht="14.25" customHeight="1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ht="14.25" customHeight="1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ht="14.25" customHeight="1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ht="14.25" customHeight="1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ht="14.25" customHeight="1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ht="14.25" customHeight="1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ht="14.25" customHeight="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ht="14.25" customHeight="1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ht="14.25" customHeight="1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ht="14.25" customHeight="1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ht="14.25" customHeight="1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ht="14.25" customHeight="1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ht="14.25" customHeight="1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ht="14.25" customHeight="1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ht="14.25" customHeight="1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ht="14.25" customHeight="1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ht="14.25" customHeight="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ht="14.25" customHeight="1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ht="14.25" customHeight="1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ht="14.25" customHeight="1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ht="14.25" customHeight="1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ht="14.25" customHeight="1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ht="14.25" customHeight="1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ht="14.25" customHeight="1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ht="14.25" customHeight="1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ht="14.25" customHeight="1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ht="14.25" customHeight="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ht="14.25" customHeight="1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ht="14.25" customHeight="1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ht="14.25" customHeight="1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ht="14.25" customHeight="1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ht="14.25" customHeight="1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ht="14.25" customHeight="1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ht="14.25" customHeight="1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ht="14.25" customHeight="1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ht="14.25" customHeight="1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ht="14.25" customHeight="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ht="14.25" customHeight="1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ht="14.25" customHeight="1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ht="14.25" customHeight="1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ht="14.25" customHeight="1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ht="14.25" customHeight="1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ht="14.25" customHeight="1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ht="14.25" customHeight="1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ht="14.25" customHeight="1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ht="14.25" customHeight="1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ht="14.25" customHeight="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ht="14.25" customHeight="1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ht="14.25" customHeight="1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ht="14.25" customHeight="1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ht="14.25" customHeight="1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ht="14.25" customHeight="1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ht="14.25" customHeight="1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ht="14.25" customHeight="1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ht="14.25" customHeight="1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ht="14.25" customHeight="1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ht="14.25" customHeight="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ht="14.25" customHeight="1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ht="14.25" customHeight="1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ht="14.25" customHeight="1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ht="14.25" customHeight="1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ht="14.25" customHeight="1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ht="14.25" customHeight="1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ht="14.25" customHeight="1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ht="14.25" customHeight="1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ht="14.25" customHeight="1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ht="14.25" customHeight="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ht="14.25" customHeight="1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ht="14.25" customHeight="1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ht="14.25" customHeight="1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ht="14.25" customHeight="1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ht="14.25" customHeight="1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ht="14.25" customHeight="1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ht="14.25" customHeight="1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ht="14.25" customHeight="1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ht="14.25" customHeight="1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ht="14.25" customHeight="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ht="14.25" customHeight="1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ht="14.25" customHeight="1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ht="14.2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4.2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4.2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4.2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4.2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4.2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4.2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4.2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4.2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4.2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4.2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4.2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4.2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4.2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4.2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4.2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4.2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4.2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4.2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4.2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4.2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4.2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4.2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4.2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4.2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4.2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4.2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4.2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4.2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4.2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4.2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4.2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4.2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4.2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4.2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4.2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4.2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4.2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4.2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4.2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4.2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4.2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4.2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4.2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4.2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4.2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4.2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4.2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4.2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4.2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4.2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4.2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4.2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4.2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4.2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4.2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4.2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4.2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4.2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4.2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4.2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4.2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4.2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4.2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4.2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4.2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4.2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4.2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4.2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4.2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4.2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4.2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4.2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4.2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4.2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4.2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4.2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4.2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4.2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4.2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4.2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4.2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4.2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4.2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4.2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4.2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4.2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4.2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4.2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4.2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4.2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4.2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4.2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4.2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4.2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4.2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4.2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4.2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4.2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4.2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4.2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4.2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4.2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4.2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4.2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4.2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4.2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4.2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4.2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4.2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4.2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4.2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4.2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4.2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4.2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4.2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4.2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4.2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4.2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4.2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4.2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4.2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4.2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4.2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4.2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4.2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4.2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4.2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4.2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4.2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4.2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4.2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4.2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4.2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4.2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4.2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4.2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4.2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4.2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4.2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4.2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4.2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4.2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4.2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4.2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4.2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4.2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4.2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4.2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4.2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4.2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4.2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4.2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4.2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4.2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4.2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4.2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4.2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4.2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4.2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4.2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4.2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4.2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4.2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4.2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4.2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4.2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4.2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4.2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4.2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4.2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4.2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4.2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4.2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4.2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4.2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4.2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4.2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4.2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4.2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4.2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4.2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4.2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4.2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4.2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4.2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4.2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4.2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4.2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4.2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4.2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4.2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4.2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4.2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4.2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4.2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4.2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4.2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4.2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4.2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4.2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4.2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4.2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4.2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4.2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4.2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4.2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4.2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4.2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4.2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4.2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4.2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4.2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4.2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4.2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4.2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4.2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4.2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4.2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4.2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4.2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4.2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4.2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4.2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4.2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4.2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4.2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4.2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4.2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4.2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4.2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4.2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4.2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4.2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4.2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4.2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4.2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4.2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4.2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4.2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4.2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4.2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4.2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4.2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4.2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4.2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4.2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4.2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4.2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4.2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4.2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4.2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4.2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4.2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4.2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4.2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4.2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4.2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4.2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4.2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4.2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4.2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4.2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4.2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4.2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4.2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4.2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4.2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4.2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4.2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4.2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4.2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4.2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4.2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4.2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4.2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4.2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4.2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4.2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4.2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4.2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4.2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4.2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4.2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4.2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4.2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4.2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4.2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4.2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4.2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4.2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4.2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4.2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4.2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4.2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4.2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4.2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4.2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4.2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4.2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4.2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4.2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4.2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4.2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4.2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4.2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4.2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4.2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4.2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4.2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4.2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4.2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4.2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4.2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4.2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4.2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4.2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4.2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4.2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4.2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4.2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4.2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4.2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4.2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4.2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4.2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4.2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4.2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4.2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4.2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4.2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4.2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4.2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4.2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4.2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4.2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4.2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4.2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4.2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4.2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4.2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4.2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4.2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4.2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4.2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4.2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4.2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4.2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4.2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4.2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4.2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4.2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4.2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4.2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4.2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4.2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4.2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4.2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4.2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4.2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4.2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4.2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4.2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4.2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4.2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4.2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4.2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4.2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4.2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4.2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4.2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4.2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4.2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4.2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4.2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4.2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4.2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4.2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4.2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4.2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4.2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4.2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4.2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4.2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4.2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4.2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4.2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4.2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4.2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4.2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4.2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4.2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4.2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4.2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4.2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4.2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4.2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4.2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4.2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4.2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4.2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4.2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4.2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4.2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4.2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4.2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4.2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4.2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4.2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4.2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4.2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4.2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4.2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4.2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4.2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4.2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4.2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4.2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4.2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4.2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4.2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4.2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4.2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4.2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4.2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4.2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4.2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4.2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4.2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4.2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4.2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4.2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4.2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4.2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4.2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4.2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4.2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4.2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4.2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4.2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4.2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4.2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4.2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4.2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4.2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4.2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4.2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4.2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4.2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4.2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4.2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4.2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4.2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4.2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4.2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4.2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4.2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4.2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4.2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4.2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4.2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4.2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4.2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4.2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4.2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4.2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4.2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4.2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4.2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4.2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4.2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4.2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4.2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4.2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4.2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4.2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4.2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4.2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4.2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4.2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4.2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4.2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4.2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4.2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4.2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4.2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4.2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4.2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4.2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4.2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4.2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4.2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4.2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4.2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4.2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4.2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4.2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4.2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4.2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4.2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4.2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4.2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4.2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4.2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4.2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4.2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4.2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4.2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4.2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4.2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4.2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4.2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4.2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4.2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4.2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4.2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4.2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4.2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4.2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4.2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4.2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4.2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4.2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4.2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4.2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4.2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4.2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4.2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4.2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4.2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4.2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4.2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4.2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4.2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4.2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4.2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4.2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4.2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4.2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4.2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4.2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4.2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4.2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4.2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4.2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4.2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4.2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4.2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4.2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4.2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4.2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4.2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4.2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4.2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4.2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4.2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4.2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4.2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4.2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4.2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4.2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4.2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4.2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4.2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4.2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4.2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4.2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4.2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4.2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4.2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4.2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4.2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4.2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4.2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4.2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4.2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4.2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4.2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4.2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4.2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4.2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4.2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4.2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4.2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4.2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4.2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4.2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4.2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4.2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4.2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4.2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4.2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4.2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4.2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4.2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4.2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4.2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4.2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4.2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4.2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4.2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4.2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4.2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4.2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4.2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4.2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4.2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4.2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4.2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4.2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4.2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4.2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4.2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4.2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4.2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4.2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4.2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4.2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4.2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4.2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4.2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4.2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4.2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4.2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4.2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4.2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ht="14.25" customHeight="1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  <row r="1001" ht="14.25" customHeight="1">
      <c r="A1001" s="64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</row>
    <row r="1002" ht="14.25" customHeight="1">
      <c r="A1002" s="64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</row>
    <row r="1003" ht="14.25" customHeight="1">
      <c r="A1003" s="64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</row>
    <row r="1004" ht="14.25" customHeight="1">
      <c r="A1004" s="64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</row>
  </sheetData>
  <mergeCells count="14">
    <mergeCell ref="A27:F27"/>
    <mergeCell ref="A28:F28"/>
    <mergeCell ref="A29:F29"/>
    <mergeCell ref="A30:F30"/>
    <mergeCell ref="A31:F31"/>
    <mergeCell ref="A32:F32"/>
    <mergeCell ref="A34:F34"/>
    <mergeCell ref="A1:F1"/>
    <mergeCell ref="B3:C3"/>
    <mergeCell ref="E3:F3"/>
    <mergeCell ref="B4:F4"/>
    <mergeCell ref="B5:C5"/>
    <mergeCell ref="A7:F7"/>
    <mergeCell ref="A25:F2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4" width="31.86"/>
  </cols>
  <sheetData>
    <row r="1">
      <c r="A1" s="50" t="s">
        <v>144</v>
      </c>
      <c r="B1" s="50" t="s">
        <v>145</v>
      </c>
      <c r="C1" s="50" t="s">
        <v>146</v>
      </c>
      <c r="D1" s="50" t="s">
        <v>147</v>
      </c>
      <c r="E1" s="50" t="s">
        <v>148</v>
      </c>
      <c r="F1" s="50" t="s">
        <v>149</v>
      </c>
      <c r="G1" s="50" t="s">
        <v>150</v>
      </c>
    </row>
    <row r="2">
      <c r="A2" s="50" t="s">
        <v>151</v>
      </c>
      <c r="B2" s="50" t="s">
        <v>152</v>
      </c>
      <c r="C2" s="50" t="s">
        <v>95</v>
      </c>
      <c r="D2" s="50" t="s">
        <v>153</v>
      </c>
      <c r="F2" s="50" t="s">
        <v>154</v>
      </c>
      <c r="G2" s="50">
        <v>4.0</v>
      </c>
    </row>
    <row r="3">
      <c r="A3" s="50" t="s">
        <v>155</v>
      </c>
      <c r="B3" s="50" t="s">
        <v>156</v>
      </c>
      <c r="F3" s="50">
        <v>18000.0</v>
      </c>
      <c r="G3" s="79">
        <v>46177.0</v>
      </c>
    </row>
    <row r="4">
      <c r="A4" s="50" t="s">
        <v>157</v>
      </c>
      <c r="F4" s="50">
        <v>24000.0</v>
      </c>
    </row>
    <row r="6">
      <c r="A6" s="50" t="s">
        <v>158</v>
      </c>
      <c r="B6" s="50" t="s">
        <v>159</v>
      </c>
      <c r="C6" s="80" t="s">
        <v>160</v>
      </c>
    </row>
  </sheetData>
  <hyperlinks>
    <hyperlink r:id="rId1" ref="C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" t="s">
        <v>161</v>
      </c>
    </row>
    <row r="2">
      <c r="A2" s="50" t="s">
        <v>162</v>
      </c>
      <c r="B2" s="50" t="s">
        <v>163</v>
      </c>
      <c r="C2" s="50" t="s">
        <v>164</v>
      </c>
      <c r="D2" s="50" t="s">
        <v>165</v>
      </c>
      <c r="E2" s="50" t="s">
        <v>166</v>
      </c>
      <c r="F2" s="50" t="s">
        <v>167</v>
      </c>
    </row>
    <row r="3">
      <c r="A3" s="81" t="s">
        <v>168</v>
      </c>
      <c r="B3" s="50" t="s">
        <v>169</v>
      </c>
      <c r="C3" s="82" t="s">
        <v>170</v>
      </c>
      <c r="D3" s="83">
        <v>0.05</v>
      </c>
      <c r="E3" s="83">
        <v>0.19</v>
      </c>
      <c r="F3" s="83">
        <v>0.0</v>
      </c>
      <c r="G3" s="80" t="s">
        <v>171</v>
      </c>
    </row>
  </sheetData>
  <hyperlinks>
    <hyperlink r:id="rId1" ref="G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2026-10-10T14:36:16Z</dcterms:created>
  <dc:creator>Mekvra Ingeniería e Integración S.A.S.</dc:creator>
</cp:coreProperties>
</file>