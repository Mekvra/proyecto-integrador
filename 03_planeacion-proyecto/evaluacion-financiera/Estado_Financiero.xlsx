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 de produccion" sheetId="1" r:id="rId4"/>
    <sheet state="visible" name="Detalle de Lineas" sheetId="2" r:id="rId5"/>
    <sheet state="visible" name="OPEX" sheetId="3" r:id="rId6"/>
    <sheet state="visible" name="CAPEX" sheetId="4" r:id="rId7"/>
    <sheet state="visible" name="Estado gerencial (Linea de Yogu" sheetId="5" r:id="rId8"/>
    <sheet state="visible" name="Estado Financiero" sheetId="6" r:id="rId9"/>
    <sheet state="visible" name="Propuesta de mejora" sheetId="7" r:id="rId10"/>
  </sheets>
  <definedNames/>
  <calcPr/>
  <extLst>
    <ext uri="GoogleSheetsCustomDataVersion2">
      <go:sheetsCustomData xmlns:go="http://customooxmlschemas.google.com/" r:id="rId11" roundtripDataChecksum="HG3hWF6QhQEIhU7rQRbH9M80e1/L7Z42Etj8Fo6HBao="/>
    </ext>
  </extLst>
</workbook>
</file>

<file path=xl/sharedStrings.xml><?xml version="1.0" encoding="utf-8"?>
<sst xmlns="http://schemas.openxmlformats.org/spreadsheetml/2006/main" count="234" uniqueCount="193">
  <si>
    <t>Lacteos Altos de Teusacá SAS</t>
  </si>
  <si>
    <t>Concepto</t>
  </si>
  <si>
    <t>COP millones/año</t>
  </si>
  <si>
    <t>Leche cruda</t>
  </si>
  <si>
    <t xml:space="preserve">Año base </t>
  </si>
  <si>
    <t>CAPEX ( COP millones)</t>
  </si>
  <si>
    <t xml:space="preserve">Dias operativos </t>
  </si>
  <si>
    <t xml:space="preserve">dias/ año </t>
  </si>
  <si>
    <t xml:space="preserve">Acopio </t>
  </si>
  <si>
    <t xml:space="preserve">L/dia </t>
  </si>
  <si>
    <t xml:space="preserve">Precio Leche en puesta en planta </t>
  </si>
  <si>
    <t>COP/L</t>
  </si>
  <si>
    <t xml:space="preserve">Leche anual </t>
  </si>
  <si>
    <t>Bombas, válvulas y proceso</t>
  </si>
  <si>
    <t>L</t>
  </si>
  <si>
    <t xml:space="preserve">Costo anual de leche </t>
  </si>
  <si>
    <t>Ingredientes, cultivos y preparados</t>
  </si>
  <si>
    <t>Refrigeración, vapor y servicios</t>
  </si>
  <si>
    <t>millones COP</t>
  </si>
  <si>
    <t xml:space="preserve">Tasa de impuestos </t>
  </si>
  <si>
    <t>Empaques</t>
  </si>
  <si>
    <t>%</t>
  </si>
  <si>
    <t xml:space="preserve">Gastos financieros </t>
  </si>
  <si>
    <t xml:space="preserve">Depreciacion anual </t>
  </si>
  <si>
    <t>Llenado y empaque</t>
  </si>
  <si>
    <t>Energía y servicios</t>
  </si>
  <si>
    <t>Adecuaciones sanitarias</t>
  </si>
  <si>
    <t>Aumeto de capital de trabajo</t>
  </si>
  <si>
    <t>CAPEX</t>
  </si>
  <si>
    <t xml:space="preserve">Trabajadores operativos </t>
  </si>
  <si>
    <t>Personas</t>
  </si>
  <si>
    <t>Costo mensual por operativo</t>
  </si>
  <si>
    <t>Laboratorio y sistemas</t>
  </si>
  <si>
    <t>Otros insumos productivos</t>
  </si>
  <si>
    <t>COP/persona</t>
  </si>
  <si>
    <t xml:space="preserve">Trabajadores administrativos </t>
  </si>
  <si>
    <t xml:space="preserve">Costo mensual por administrativo </t>
  </si>
  <si>
    <t>Vehículos y logística</t>
  </si>
  <si>
    <t xml:space="preserve">Presupuestos operativos </t>
  </si>
  <si>
    <t>Nómina operativa</t>
  </si>
  <si>
    <t xml:space="preserve">ingredientes </t>
  </si>
  <si>
    <t>Total</t>
  </si>
  <si>
    <t xml:space="preserve">Energia, frio, vapor y agua </t>
  </si>
  <si>
    <t xml:space="preserve">Otros Insumos productivos </t>
  </si>
  <si>
    <t>Mantenimiento, CCIP, Calidad y Ambiente</t>
  </si>
  <si>
    <t xml:space="preserve">Distribucion refrigerada </t>
  </si>
  <si>
    <t>Mantenimiento, CIP, calidad y ambiente</t>
  </si>
  <si>
    <t xml:space="preserve">Mercadeo y gestion comercial </t>
  </si>
  <si>
    <t xml:space="preserve">Administracion, seguros, TI y otros </t>
  </si>
  <si>
    <t>Costo de produccion de caja</t>
  </si>
  <si>
    <t>Distribución refrigerada</t>
  </si>
  <si>
    <t>Mercadeo y gestión comercial</t>
  </si>
  <si>
    <t>Grupo de activos</t>
  </si>
  <si>
    <t>Valor depreciable (millones COP)</t>
  </si>
  <si>
    <t>Vida útil (años)</t>
  </si>
  <si>
    <t>Depreciación anual</t>
  </si>
  <si>
    <t>Nómina administrativa y comercial</t>
  </si>
  <si>
    <t>Equipos de proceso</t>
  </si>
  <si>
    <t>Administración, seguros, TI y otros</t>
  </si>
  <si>
    <t xml:space="preserve">Gastos administrativos y comerciales </t>
  </si>
  <si>
    <t>Servicios industriales</t>
  </si>
  <si>
    <t>OPEX de caja</t>
  </si>
  <si>
    <t>Cadena de frío</t>
  </si>
  <si>
    <t>Laboratorio, TI y vehículos</t>
  </si>
  <si>
    <t xml:space="preserve">Volumenes y precios por lineas </t>
  </si>
  <si>
    <t xml:space="preserve">Lineas de producción </t>
  </si>
  <si>
    <t>Leche cruda (L/dia)</t>
  </si>
  <si>
    <t>participacion (%)</t>
  </si>
  <si>
    <t>Produccion final (L/dia)</t>
  </si>
  <si>
    <t>ingresos anuales (millones COP)</t>
  </si>
  <si>
    <t>Participacion (%)</t>
  </si>
  <si>
    <t>Yogures</t>
  </si>
  <si>
    <t xml:space="preserve">Quesos </t>
  </si>
  <si>
    <t xml:space="preserve">Leches pasteurizadas </t>
  </si>
  <si>
    <t xml:space="preserve">Total </t>
  </si>
  <si>
    <t>Fresa</t>
  </si>
  <si>
    <t>Natural</t>
  </si>
  <si>
    <t>Griego</t>
  </si>
  <si>
    <t>Yogures totales</t>
  </si>
  <si>
    <t>Parámetro</t>
  </si>
  <si>
    <t>Valor inicial</t>
  </si>
  <si>
    <t>Ventas brutas</t>
  </si>
  <si>
    <t>Detalle de las lineas</t>
  </si>
  <si>
    <t xml:space="preserve">Presentacion </t>
  </si>
  <si>
    <t>Produccion diaria (kg)</t>
  </si>
  <si>
    <t>Produccion anual (kg)</t>
  </si>
  <si>
    <t>Precio unitario (COP)</t>
  </si>
  <si>
    <t>Precio total (millones COP)</t>
  </si>
  <si>
    <t>Yogur fresa (mix 150 g/1.000 g/1.750 g)</t>
  </si>
  <si>
    <t>Lotes fresa/semana</t>
  </si>
  <si>
    <t>Yogur natural (mix 200 g/1.000 g)</t>
  </si>
  <si>
    <t>Descuentos y devoluciones</t>
  </si>
  <si>
    <t>Yogur griego (mix 150 g/500 g)</t>
  </si>
  <si>
    <t>Lotes natural/semana</t>
  </si>
  <si>
    <t>Quesos</t>
  </si>
  <si>
    <t>Mozzarella(Kg)</t>
  </si>
  <si>
    <t>Ventas netas</t>
  </si>
  <si>
    <t>Lotes griego/semana</t>
  </si>
  <si>
    <t>Doble crema(kg)</t>
  </si>
  <si>
    <t>Leche</t>
  </si>
  <si>
    <t>Quesillo(kg)</t>
  </si>
  <si>
    <t>Leches Pasteurizadas</t>
  </si>
  <si>
    <t>Leche Entrera (Litro)</t>
  </si>
  <si>
    <t>Total lotes/semana</t>
  </si>
  <si>
    <t>Ingredientes</t>
  </si>
  <si>
    <t>Leche descremada (Litro)</t>
  </si>
  <si>
    <t>Leche Saborizada (Litro)</t>
  </si>
  <si>
    <t>Trabajadores directos fresa</t>
  </si>
  <si>
    <t>Trabajadores directos natural</t>
  </si>
  <si>
    <t>Mano de obra directa</t>
  </si>
  <si>
    <t>Trabajadores directos griego</t>
  </si>
  <si>
    <t>Margen de contribución</t>
  </si>
  <si>
    <t>Energía y servicios línea</t>
  </si>
  <si>
    <t>Energía y servicios asignados</t>
  </si>
  <si>
    <t>Mantenimiento y CIP línea</t>
  </si>
  <si>
    <t>Mantenimiento y CIP asignados</t>
  </si>
  <si>
    <t>Calidad de línea</t>
  </si>
  <si>
    <t>Calidad asignada</t>
  </si>
  <si>
    <t>Nómina indirecta línea</t>
  </si>
  <si>
    <t>Nómina indirecta asignada</t>
  </si>
  <si>
    <t>Distribución sobre ventas netas</t>
  </si>
  <si>
    <t>Distribución</t>
  </si>
  <si>
    <t>Depreciación fresa</t>
  </si>
  <si>
    <t>EBITDA de la línea antes de gastos corporativos</t>
  </si>
  <si>
    <t>Depreciación natural</t>
  </si>
  <si>
    <t>margen EBITDA de la linea</t>
  </si>
  <si>
    <t>Depreciación griego</t>
  </si>
  <si>
    <t>Depreciación asignada</t>
  </si>
  <si>
    <t>Resultado operativo de la línea antes de gastos corporativos</t>
  </si>
  <si>
    <t>Estado finandiero (millones COP)</t>
  </si>
  <si>
    <t>Ingresos netos</t>
  </si>
  <si>
    <t>Costo productivo de caja</t>
  </si>
  <si>
    <t>Utilidad bruta antes de depreciación</t>
  </si>
  <si>
    <t>Total gastos administrativos</t>
  </si>
  <si>
    <t>EBITDA</t>
  </si>
  <si>
    <t>Depreciación y amortización</t>
  </si>
  <si>
    <t>Utilidad operacional</t>
  </si>
  <si>
    <t>Gastos financieros</t>
  </si>
  <si>
    <t>Utilidad antes de impuestos</t>
  </si>
  <si>
    <t>Impuesto de renta</t>
  </si>
  <si>
    <t>Utilidad neta</t>
  </si>
  <si>
    <t xml:space="preserve">Flujo de caja </t>
  </si>
  <si>
    <t xml:space="preserve">Indicadores Financieros </t>
  </si>
  <si>
    <t xml:space="preserve">Margen bruto de caja </t>
  </si>
  <si>
    <t xml:space="preserve">Depreciacion </t>
  </si>
  <si>
    <t>Margen EBITDA</t>
  </si>
  <si>
    <t xml:space="preserve">Aumento de capital de trabajo </t>
  </si>
  <si>
    <t xml:space="preserve">margen operacional </t>
  </si>
  <si>
    <t xml:space="preserve">Flujo operativo </t>
  </si>
  <si>
    <t>margen neto</t>
  </si>
  <si>
    <t xml:space="preserve">EBITDA por litro </t>
  </si>
  <si>
    <t>Flujo de caja libre</t>
  </si>
  <si>
    <t xml:space="preserve">Utilidad por litro </t>
  </si>
  <si>
    <t xml:space="preserve">OPEX por litro </t>
  </si>
  <si>
    <t xml:space="preserve">Flujo libre por litro </t>
  </si>
  <si>
    <t>Flujo libre por ventas</t>
  </si>
  <si>
    <t>Flujo libre EBITDA</t>
  </si>
  <si>
    <t xml:space="preserve">Costo del proyecto </t>
  </si>
  <si>
    <t>MCOP</t>
  </si>
  <si>
    <t>Vpn</t>
  </si>
  <si>
    <t>Depreciacion a 10 años</t>
  </si>
  <si>
    <t xml:space="preserve">MCOP/año </t>
  </si>
  <si>
    <t xml:space="preserve">Capacidad actual </t>
  </si>
  <si>
    <t>L/día</t>
  </si>
  <si>
    <t>Capacidad meta</t>
  </si>
  <si>
    <t xml:space="preserve">Precio promedio yogurt </t>
  </si>
  <si>
    <t>incremento en litros de leche</t>
  </si>
  <si>
    <t xml:space="preserve">incremento pocentual </t>
  </si>
  <si>
    <t>Tratamiento adicional de leche</t>
  </si>
  <si>
    <t>L/año</t>
  </si>
  <si>
    <t>Produccion promedio de yogurt</t>
  </si>
  <si>
    <t>Ingresos brutos por yogurt</t>
  </si>
  <si>
    <t>por año</t>
  </si>
  <si>
    <t xml:space="preserve">utilidad incremental antes de impuestos </t>
  </si>
  <si>
    <t xml:space="preserve">incremento en impuesto </t>
  </si>
  <si>
    <t xml:space="preserve">utilidad incremental despues de impuestos </t>
  </si>
  <si>
    <t xml:space="preserve">Flujo de caja incremental </t>
  </si>
  <si>
    <t xml:space="preserve">Costos incrementales por aumento </t>
  </si>
  <si>
    <t>Valor anual (COP millones)</t>
  </si>
  <si>
    <t>Leche adicional</t>
  </si>
  <si>
    <t>Ingredientes y cultivos</t>
  </si>
  <si>
    <t>Energía, agua y frío</t>
  </si>
  <si>
    <t>Distribución y comisiones</t>
  </si>
  <si>
    <t>Merma y reproceso</t>
  </si>
  <si>
    <t>Costos variables incrementales</t>
  </si>
  <si>
    <t xml:space="preserve">Margen de contribucion incremental </t>
  </si>
  <si>
    <t>Licencias y soporte SCADA</t>
  </si>
  <si>
    <t>Calibración de instrumentos</t>
  </si>
  <si>
    <t>Repuestos y mantenimiento especializado</t>
  </si>
  <si>
    <t>Comunicaciones y ciberseguridad</t>
  </si>
  <si>
    <t>Capacitación y auditorías</t>
  </si>
  <si>
    <t>OPEX incremental fijo</t>
  </si>
  <si>
    <t>EBITDA incremental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</si>
</sst>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-* #,##0_-;\-* #,##0_-;_-* &quot;-&quot;??_-;_-@"/>
    <numFmt numFmtId="165" formatCode="_-&quot;$&quot;\ * #,##0_-;\-&quot;$&quot;\ * #,##0_-;_-&quot;$&quot;\ * &quot;-&quot;??_-;_-@"/>
    <numFmt numFmtId="166" formatCode="0.0%"/>
    <numFmt numFmtId="167" formatCode="_-&quot;$&quot;\ * #,##0.00_-;\-&quot;$&quot;\ * #,##0.00_-;_-&quot;$&quot;\ * &quot;-&quot;??_-;_-@"/>
    <numFmt numFmtId="168" formatCode="[$ $]#,##0"/>
  </numFmts>
  <fonts count="10">
    <font>
      <sz val="11.0"/>
      <color theme="1"/>
      <name val="Aptos Narrow"/>
      <scheme val="minor"/>
    </font>
    <font>
      <b/>
      <sz val="11.0"/>
      <color theme="1"/>
      <name val="Aptos Narrow"/>
    </font>
    <font>
      <sz val="11.0"/>
      <color theme="1"/>
      <name val="Aptos Narrow"/>
    </font>
    <font/>
    <font>
      <b/>
      <sz val="11.0"/>
      <color theme="1"/>
      <name val="Arial"/>
    </font>
    <font>
      <color theme="1"/>
      <name val="Aptos Narrow"/>
      <scheme val="minor"/>
    </font>
    <font>
      <color theme="1"/>
      <name val="Arial"/>
    </font>
    <font>
      <sz val="11.0"/>
      <color theme="1"/>
      <name val="Arial"/>
    </font>
    <font>
      <sz val="10.0"/>
      <color theme="1"/>
      <name val="Aptos Narrow"/>
    </font>
    <font>
      <b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DDDB5"/>
        <bgColor rgb="FFEDDDB5"/>
      </patternFill>
    </fill>
    <fill>
      <patternFill patternType="solid">
        <fgColor rgb="FFF2F2F2"/>
        <bgColor rgb="FFF2F2F2"/>
      </patternFill>
    </fill>
  </fills>
  <borders count="6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2" fillId="2" fontId="1" numFmtId="0" xfId="0" applyAlignment="1" applyBorder="1" applyFill="1" applyFont="1">
      <alignment horizontal="center"/>
    </xf>
    <xf borderId="0" fillId="0" fontId="2" numFmtId="0" xfId="0" applyFont="1"/>
    <xf borderId="3" fillId="0" fontId="3" numFmtId="0" xfId="0" applyBorder="1" applyFont="1"/>
    <xf borderId="1" fillId="2" fontId="4" numFmtId="0" xfId="0" applyAlignment="1" applyBorder="1" applyFill="1" applyFont="1">
      <alignment horizontal="left" readingOrder="0" shrinkToFit="0" vertical="center" wrapText="1"/>
    </xf>
    <xf borderId="4" fillId="0" fontId="3" numFmtId="0" xfId="0" applyBorder="1" applyFont="1"/>
    <xf borderId="0" fillId="0" fontId="2" numFmtId="0" xfId="0" applyAlignment="1" applyFont="1">
      <alignment horizontal="left" shrinkToFit="0" vertical="center" wrapText="1"/>
    </xf>
    <xf borderId="0" fillId="0" fontId="1" numFmtId="0" xfId="0" applyFont="1"/>
    <xf borderId="0" fillId="0" fontId="5" numFmtId="0" xfId="0" applyFont="1"/>
    <xf borderId="0" fillId="0" fontId="2" numFmtId="164" xfId="0" applyFont="1" applyNumberFormat="1"/>
    <xf borderId="0" fillId="0" fontId="6" numFmtId="0" xfId="0" applyAlignment="1" applyFont="1">
      <alignment readingOrder="0"/>
    </xf>
    <xf borderId="0" fillId="0" fontId="2" numFmtId="165" xfId="0" applyAlignment="1" applyFont="1" applyNumberFormat="1">
      <alignment horizontal="left" shrinkToFit="0" vertical="center" wrapText="1"/>
    </xf>
    <xf borderId="0" fillId="0" fontId="7" numFmtId="165" xfId="0" applyAlignment="1" applyFont="1" applyNumberFormat="1">
      <alignment horizontal="left" readingOrder="0" shrinkToFit="0" vertical="center" wrapText="1"/>
    </xf>
    <xf borderId="0" fillId="0" fontId="2" numFmtId="165" xfId="0" applyFont="1" applyNumberFormat="1"/>
    <xf borderId="0" fillId="0" fontId="7" numFmtId="165" xfId="0" applyAlignment="1" applyFont="1" applyNumberFormat="1">
      <alignment readingOrder="0"/>
    </xf>
    <xf borderId="0" fillId="0" fontId="1" numFmtId="0" xfId="0" applyAlignment="1" applyFont="1">
      <alignment horizontal="left" shrinkToFit="0" vertical="center" wrapText="1"/>
    </xf>
    <xf borderId="0" fillId="0" fontId="1" numFmtId="165" xfId="0" applyAlignment="1" applyFont="1" applyNumberFormat="1">
      <alignment horizontal="left" shrinkToFit="0" vertical="center" wrapText="1"/>
    </xf>
    <xf borderId="0" fillId="0" fontId="7" numFmtId="164" xfId="0" applyAlignment="1" applyFont="1" applyNumberFormat="1">
      <alignment readingOrder="0"/>
    </xf>
    <xf borderId="0" fillId="0" fontId="2" numFmtId="9" xfId="0" applyFont="1" applyNumberFormat="1"/>
    <xf borderId="0" fillId="0" fontId="5" numFmtId="164" xfId="0" applyFont="1" applyNumberFormat="1"/>
    <xf borderId="0" fillId="0" fontId="2" numFmtId="0" xfId="0" applyAlignment="1" applyFont="1">
      <alignment vertical="center"/>
    </xf>
    <xf borderId="0" fillId="0" fontId="8" numFmtId="0" xfId="0" applyAlignment="1" applyFont="1">
      <alignment horizontal="left" shrinkToFit="0" vertical="center" wrapText="1"/>
    </xf>
    <xf borderId="0" fillId="0" fontId="7" numFmtId="0" xfId="0" applyAlignment="1" applyFont="1">
      <alignment horizontal="left" readingOrder="0" shrinkToFit="0" vertical="center" wrapText="1"/>
    </xf>
    <xf borderId="0" fillId="0" fontId="7" numFmtId="3" xfId="0" applyAlignment="1" applyFont="1" applyNumberFormat="1">
      <alignment horizontal="left" readingOrder="0" shrinkToFit="0" vertical="center" wrapText="1"/>
    </xf>
    <xf borderId="0" fillId="0" fontId="7" numFmtId="10" xfId="0" applyAlignment="1" applyFont="1" applyNumberFormat="1">
      <alignment horizontal="left"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2" numFmtId="10" xfId="0" applyAlignment="1" applyFont="1" applyNumberFormat="1">
      <alignment horizontal="center" shrinkToFit="0" vertical="center" wrapText="1"/>
    </xf>
    <xf borderId="2" fillId="2" fontId="1" numFmtId="0" xfId="0" applyAlignment="1" applyBorder="1" applyFill="1" applyFont="1">
      <alignment horizontal="center" shrinkToFit="0" vertical="center" wrapText="1"/>
    </xf>
    <xf borderId="0" fillId="0" fontId="2" numFmtId="166" xfId="0" applyFont="1" applyNumberFormat="1"/>
    <xf borderId="0" fillId="0" fontId="2" numFmtId="167" xfId="0" applyFont="1" applyNumberFormat="1"/>
    <xf borderId="0" fillId="0" fontId="7" numFmtId="0" xfId="0" applyAlignment="1" applyFont="1">
      <alignment readingOrder="0"/>
    </xf>
    <xf borderId="0" fillId="0" fontId="2" numFmtId="10" xfId="0" applyFont="1" applyNumberFormat="1"/>
    <xf borderId="5" fillId="3" fontId="9" numFmtId="0" xfId="0" applyAlignment="1" applyBorder="1" applyFill="1" applyFont="1">
      <alignment horizontal="left" readingOrder="0"/>
    </xf>
    <xf borderId="5" fillId="0" fontId="6" numFmtId="0" xfId="0" applyAlignment="1" applyBorder="1" applyFont="1">
      <alignment horizontal="left" readingOrder="0"/>
    </xf>
    <xf borderId="0" fillId="0" fontId="5" numFmtId="0" xfId="0" applyAlignment="1" applyFont="1">
      <alignment readingOrder="0"/>
    </xf>
    <xf borderId="0" fillId="0" fontId="5" numFmtId="10" xfId="0" applyFont="1" applyNumberFormat="1"/>
    <xf borderId="0" fillId="0" fontId="5" numFmtId="1" xfId="0" applyFont="1" applyNumberFormat="1"/>
    <xf borderId="0" fillId="0" fontId="5" numFmtId="168" xfId="0" applyFont="1" applyNumberFormat="1"/>
    <xf borderId="5" fillId="0" fontId="6" numFmtId="3" xfId="0" applyAlignment="1" applyBorder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ingresos anuales (millones COP)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'Detalle de Lineas'!$E$1:$E$2</c:f>
            </c:strRef>
          </c:tx>
          <c:dPt>
            <c:idx val="0"/>
            <c:spPr>
              <a:solidFill>
                <a:srgbClr val="FFE599"/>
              </a:solidFill>
            </c:spPr>
          </c:dPt>
          <c:dPt>
            <c:idx val="1"/>
            <c:spPr>
              <a:solidFill>
                <a:srgbClr val="94784A"/>
              </a:solidFill>
            </c:spPr>
          </c:dPt>
          <c:dPt>
            <c:idx val="2"/>
            <c:spPr>
              <a:solidFill>
                <a:srgbClr val="C8AD8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'Detalle de Lineas'!$A$3:$A$5</c:f>
            </c:strRef>
          </c:cat>
          <c:val>
            <c:numRef>
              <c:f>'Detalle de Lineas'!$E$3:$E$5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447675</xdr:colOff>
      <xdr:row>9</xdr:row>
      <xdr:rowOff>9525</xdr:rowOff>
    </xdr:from>
    <xdr:ext cx="5715000" cy="3533775"/>
    <xdr:graphicFrame>
      <xdr:nvGraphicFramePr>
        <xdr:cNvPr id="39591736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6.13"/>
    <col customWidth="1" min="2" max="2" width="14.38"/>
    <col customWidth="1" min="3" max="3" width="18.5"/>
    <col customWidth="1" min="4" max="4" width="19.5"/>
    <col customWidth="1" min="5" max="5" width="27.0"/>
    <col customWidth="1" min="6" max="6" width="12.0"/>
    <col customWidth="1" min="7" max="26" width="10.63"/>
  </cols>
  <sheetData>
    <row r="1" ht="14.25" customHeight="1">
      <c r="A1" s="2" t="s">
        <v>0</v>
      </c>
      <c r="B1" s="4"/>
      <c r="C1" s="6"/>
    </row>
    <row r="2" ht="14.25" customHeight="1"/>
    <row r="3" ht="14.25" customHeight="1">
      <c r="A3" s="8" t="s">
        <v>4</v>
      </c>
      <c r="B3" s="9">
        <v>2025.0</v>
      </c>
    </row>
    <row r="4" ht="14.25" customHeight="1">
      <c r="A4" s="8" t="s">
        <v>6</v>
      </c>
      <c r="B4" s="9">
        <v>312.0</v>
      </c>
      <c r="C4" s="9" t="s">
        <v>7</v>
      </c>
    </row>
    <row r="5" ht="14.25" customHeight="1">
      <c r="A5" s="8" t="s">
        <v>8</v>
      </c>
      <c r="B5" s="10">
        <v>150000.0</v>
      </c>
      <c r="C5" s="9" t="s">
        <v>9</v>
      </c>
    </row>
    <row r="6" ht="14.25" customHeight="1">
      <c r="A6" s="8" t="s">
        <v>10</v>
      </c>
      <c r="B6" s="11">
        <v>2400.0</v>
      </c>
      <c r="C6" s="9" t="s">
        <v>11</v>
      </c>
    </row>
    <row r="7" ht="14.25" customHeight="1">
      <c r="A7" s="8" t="s">
        <v>12</v>
      </c>
      <c r="B7" s="10">
        <f>B4*B5</f>
        <v>46800000</v>
      </c>
      <c r="C7" s="9" t="s">
        <v>14</v>
      </c>
    </row>
    <row r="8" ht="14.25" customHeight="1">
      <c r="A8" s="8" t="s">
        <v>15</v>
      </c>
      <c r="B8" s="14">
        <f>+B6*B7/1000000</f>
        <v>112320</v>
      </c>
      <c r="C8" s="9" t="s">
        <v>18</v>
      </c>
    </row>
    <row r="9" ht="14.25" customHeight="1">
      <c r="A9" s="8" t="s">
        <v>19</v>
      </c>
      <c r="B9" s="9">
        <v>35.0</v>
      </c>
      <c r="C9" s="9" t="s">
        <v>21</v>
      </c>
    </row>
    <row r="10" ht="14.25" customHeight="1">
      <c r="A10" s="8" t="s">
        <v>22</v>
      </c>
      <c r="B10" s="14">
        <v>4500.0</v>
      </c>
      <c r="C10" s="9" t="s">
        <v>18</v>
      </c>
    </row>
    <row r="11" ht="14.25" customHeight="1">
      <c r="A11" s="8" t="s">
        <v>23</v>
      </c>
      <c r="B11" s="14">
        <v>7000.0</v>
      </c>
      <c r="C11" s="9" t="s">
        <v>18</v>
      </c>
    </row>
    <row r="12" ht="14.25" customHeight="1">
      <c r="A12" s="8" t="s">
        <v>27</v>
      </c>
      <c r="B12" s="14">
        <v>4000.0</v>
      </c>
      <c r="C12" s="9" t="s">
        <v>18</v>
      </c>
    </row>
    <row r="13" ht="14.25" customHeight="1">
      <c r="A13" s="8" t="s">
        <v>28</v>
      </c>
      <c r="B13" s="14">
        <v>9000.0</v>
      </c>
      <c r="C13" s="9" t="s">
        <v>18</v>
      </c>
    </row>
    <row r="14" ht="14.25" customHeight="1">
      <c r="A14" s="8" t="s">
        <v>29</v>
      </c>
      <c r="B14" s="9">
        <v>180.0</v>
      </c>
      <c r="C14" s="9" t="s">
        <v>30</v>
      </c>
    </row>
    <row r="15" ht="14.25" customHeight="1">
      <c r="A15" s="8" t="s">
        <v>31</v>
      </c>
      <c r="B15" s="15">
        <v>4300000.0</v>
      </c>
      <c r="C15" s="9" t="s">
        <v>34</v>
      </c>
    </row>
    <row r="16" ht="14.25" customHeight="1">
      <c r="A16" s="8" t="s">
        <v>35</v>
      </c>
      <c r="B16" s="9">
        <v>50.0</v>
      </c>
      <c r="C16" s="9" t="s">
        <v>30</v>
      </c>
    </row>
    <row r="17" ht="14.25" customHeight="1">
      <c r="A17" s="8" t="s">
        <v>36</v>
      </c>
      <c r="B17" s="15">
        <v>8100000.0</v>
      </c>
      <c r="C17" s="9" t="s">
        <v>34</v>
      </c>
    </row>
    <row r="18" ht="14.25" customHeight="1"/>
    <row r="19" ht="14.25" customHeight="1"/>
    <row r="20" ht="14.25" customHeight="1">
      <c r="A20" s="2" t="s">
        <v>38</v>
      </c>
      <c r="B20" s="4"/>
      <c r="C20" s="6"/>
    </row>
    <row r="21" ht="14.25" customHeight="1">
      <c r="A21" s="8" t="s">
        <v>40</v>
      </c>
      <c r="B21" s="15">
        <v>26000.0</v>
      </c>
      <c r="C21" s="9" t="s">
        <v>18</v>
      </c>
    </row>
    <row r="22" ht="14.25" customHeight="1">
      <c r="A22" s="8" t="s">
        <v>20</v>
      </c>
      <c r="B22" s="15">
        <v>33000.0</v>
      </c>
      <c r="C22" s="9" t="s">
        <v>18</v>
      </c>
    </row>
    <row r="23" ht="14.25" customHeight="1">
      <c r="A23" s="8" t="s">
        <v>42</v>
      </c>
      <c r="B23" s="15">
        <v>15000.0</v>
      </c>
      <c r="C23" s="9" t="s">
        <v>18</v>
      </c>
    </row>
    <row r="24" ht="14.25" customHeight="1">
      <c r="A24" s="8" t="s">
        <v>43</v>
      </c>
      <c r="B24" s="15">
        <v>9000.0</v>
      </c>
      <c r="C24" s="9" t="s">
        <v>18</v>
      </c>
    </row>
    <row r="25" ht="14.25" customHeight="1">
      <c r="A25" s="8" t="s">
        <v>44</v>
      </c>
      <c r="B25" s="15">
        <v>8700.0</v>
      </c>
      <c r="C25" s="9" t="s">
        <v>18</v>
      </c>
    </row>
    <row r="26" ht="14.25" customHeight="1">
      <c r="A26" s="8" t="s">
        <v>45</v>
      </c>
      <c r="B26" s="15">
        <v>14300.0</v>
      </c>
      <c r="C26" s="9" t="s">
        <v>18</v>
      </c>
    </row>
    <row r="27" ht="14.25" customHeight="1">
      <c r="A27" s="8" t="s">
        <v>47</v>
      </c>
      <c r="B27" s="15">
        <v>11000.0</v>
      </c>
      <c r="C27" s="9" t="s">
        <v>18</v>
      </c>
    </row>
    <row r="28" ht="14.25" customHeight="1">
      <c r="A28" s="8" t="s">
        <v>48</v>
      </c>
      <c r="B28" s="15">
        <v>19000.0</v>
      </c>
      <c r="C28" s="9" t="s">
        <v>18</v>
      </c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C1"/>
    <mergeCell ref="A20:C20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32.13"/>
    <col customWidth="1" min="3" max="3" width="20.38"/>
    <col customWidth="1" min="4" max="4" width="19.5"/>
    <col customWidth="1" min="5" max="5" width="27.0"/>
    <col customWidth="1" min="6" max="6" width="22.5"/>
    <col customWidth="1" min="7" max="26" width="10.63"/>
  </cols>
  <sheetData>
    <row r="1" ht="14.25" customHeight="1">
      <c r="A1" s="2" t="s">
        <v>64</v>
      </c>
      <c r="B1" s="4"/>
      <c r="C1" s="4"/>
      <c r="D1" s="4"/>
      <c r="E1" s="4"/>
      <c r="F1" s="6"/>
    </row>
    <row r="2" ht="14.25" customHeight="1">
      <c r="A2" s="8" t="s">
        <v>65</v>
      </c>
      <c r="B2" s="8" t="s">
        <v>66</v>
      </c>
      <c r="C2" s="8" t="s">
        <v>67</v>
      </c>
      <c r="D2" s="8" t="s">
        <v>68</v>
      </c>
      <c r="E2" s="8" t="s">
        <v>69</v>
      </c>
      <c r="F2" s="8" t="s">
        <v>70</v>
      </c>
    </row>
    <row r="3" ht="14.25" customHeight="1">
      <c r="A3" s="9" t="s">
        <v>71</v>
      </c>
      <c r="B3" s="18">
        <v>58300.0</v>
      </c>
      <c r="C3" s="19">
        <f t="shared" ref="C3:C6" si="1">(B3)/$B$6</f>
        <v>0.3886666667</v>
      </c>
      <c r="D3" s="9">
        <f>B3*0.972</f>
        <v>56667.6</v>
      </c>
      <c r="E3" s="14">
        <f>SUM('Detalle de Lineas'!F10:F12)</f>
        <v>145331.9937</v>
      </c>
      <c r="F3" s="19">
        <f t="shared" ref="F3:F5" si="2">(E3)/$E$6</f>
        <v>0.5131195118</v>
      </c>
    </row>
    <row r="4" ht="14.25" customHeight="1">
      <c r="A4" s="9" t="s">
        <v>72</v>
      </c>
      <c r="B4" s="10">
        <v>50000.0</v>
      </c>
      <c r="C4" s="19">
        <f t="shared" si="1"/>
        <v>0.3333333333</v>
      </c>
      <c r="D4" s="9">
        <f>B4*0.1</f>
        <v>5000</v>
      </c>
      <c r="E4" s="14">
        <f>SUM('Detalle de Lineas'!F13:F15)</f>
        <v>45006</v>
      </c>
      <c r="F4" s="19">
        <f t="shared" si="2"/>
        <v>0.1589013965</v>
      </c>
    </row>
    <row r="5" ht="14.25" customHeight="1">
      <c r="A5" s="9" t="s">
        <v>73</v>
      </c>
      <c r="B5" s="18">
        <f>150000-B4-B3</f>
        <v>41700</v>
      </c>
      <c r="C5" s="19">
        <f t="shared" si="1"/>
        <v>0.278</v>
      </c>
      <c r="D5" s="20">
        <f>B5</f>
        <v>41700</v>
      </c>
      <c r="E5" s="14">
        <f>SUM('Detalle de Lineas'!F16:F18)</f>
        <v>92894.256</v>
      </c>
      <c r="F5" s="19">
        <f t="shared" si="2"/>
        <v>0.3279790918</v>
      </c>
    </row>
    <row r="6" ht="14.25" customHeight="1">
      <c r="A6" s="9" t="s">
        <v>74</v>
      </c>
      <c r="B6" s="10">
        <f>B5+B4+B3</f>
        <v>150000</v>
      </c>
      <c r="C6" s="19">
        <f t="shared" si="1"/>
        <v>1</v>
      </c>
      <c r="E6" s="14">
        <f>SUM(E3:E5)</f>
        <v>283232.2497</v>
      </c>
    </row>
    <row r="7" ht="14.25" customHeight="1"/>
    <row r="8" ht="14.25" customHeight="1"/>
    <row r="9" ht="14.25" customHeight="1">
      <c r="A9" s="8" t="s">
        <v>82</v>
      </c>
      <c r="B9" s="8" t="s">
        <v>83</v>
      </c>
      <c r="C9" s="8" t="s">
        <v>84</v>
      </c>
      <c r="D9" s="8" t="s">
        <v>85</v>
      </c>
      <c r="E9" s="8" t="s">
        <v>86</v>
      </c>
      <c r="F9" s="8" t="s">
        <v>87</v>
      </c>
    </row>
    <row r="10" ht="14.25" customHeight="1">
      <c r="A10" s="21" t="s">
        <v>71</v>
      </c>
      <c r="B10" s="21" t="s">
        <v>88</v>
      </c>
      <c r="C10" s="10">
        <f>'Detalle de Lineas'!$D$3*0.5</f>
        <v>28333.8</v>
      </c>
      <c r="D10" s="10">
        <f>C10*'base de produccion'!$B$4</f>
        <v>8840145.6</v>
      </c>
      <c r="E10" s="15">
        <v>8000.0</v>
      </c>
      <c r="F10" s="14">
        <f t="shared" ref="F10:F18" si="3">E10*D10/1000000</f>
        <v>70721.1648</v>
      </c>
    </row>
    <row r="11" ht="14.25" customHeight="1">
      <c r="A11" s="21" t="s">
        <v>71</v>
      </c>
      <c r="B11" s="21" t="s">
        <v>90</v>
      </c>
      <c r="C11" s="10">
        <f>'Detalle de Lineas'!$D$3*0.4</f>
        <v>22667.04</v>
      </c>
      <c r="D11" s="10">
        <f>C11*'base de produccion'!$B$4</f>
        <v>7072116.48</v>
      </c>
      <c r="E11" s="15">
        <v>6800.0</v>
      </c>
      <c r="F11" s="14">
        <f t="shared" si="3"/>
        <v>48090.39206</v>
      </c>
    </row>
    <row r="12" ht="14.25" customHeight="1">
      <c r="A12" s="21" t="s">
        <v>71</v>
      </c>
      <c r="B12" s="21" t="s">
        <v>92</v>
      </c>
      <c r="C12" s="10">
        <f>'Detalle de Lineas'!$D$3*0.1</f>
        <v>5666.76</v>
      </c>
      <c r="D12" s="10">
        <f>C12*'base de produccion'!$B$4</f>
        <v>1768029.12</v>
      </c>
      <c r="E12" s="15">
        <v>15000.0</v>
      </c>
      <c r="F12" s="14">
        <f t="shared" si="3"/>
        <v>26520.4368</v>
      </c>
    </row>
    <row r="13" ht="14.25" customHeight="1">
      <c r="A13" s="21" t="s">
        <v>94</v>
      </c>
      <c r="B13" s="21" t="s">
        <v>95</v>
      </c>
      <c r="C13" s="10">
        <f>'Detalle de Lineas'!$D$4*0.4</f>
        <v>2000</v>
      </c>
      <c r="D13" s="10">
        <f>C13*'base de produccion'!$B$4</f>
        <v>624000</v>
      </c>
      <c r="E13" s="15">
        <v>35000.0</v>
      </c>
      <c r="F13" s="14">
        <f t="shared" si="3"/>
        <v>21840</v>
      </c>
    </row>
    <row r="14" ht="14.25" customHeight="1">
      <c r="A14" s="21" t="s">
        <v>94</v>
      </c>
      <c r="B14" s="21" t="s">
        <v>98</v>
      </c>
      <c r="C14" s="10">
        <f>'Detalle de Lineas'!$D$4*0.35</f>
        <v>1750</v>
      </c>
      <c r="D14" s="10">
        <f>C14*'base de produccion'!$B$4</f>
        <v>546000</v>
      </c>
      <c r="E14" s="15">
        <v>21000.0</v>
      </c>
      <c r="F14" s="14">
        <f t="shared" si="3"/>
        <v>11466</v>
      </c>
    </row>
    <row r="15" ht="14.25" customHeight="1">
      <c r="A15" s="21" t="s">
        <v>94</v>
      </c>
      <c r="B15" s="21" t="s">
        <v>100</v>
      </c>
      <c r="C15" s="10">
        <f>'Detalle de Lineas'!$D$4*0.25</f>
        <v>1250</v>
      </c>
      <c r="D15" s="10">
        <f>C15*'base de produccion'!$B$4</f>
        <v>390000</v>
      </c>
      <c r="E15" s="15">
        <v>30000.0</v>
      </c>
      <c r="F15" s="14">
        <f t="shared" si="3"/>
        <v>11700</v>
      </c>
    </row>
    <row r="16" ht="14.25" customHeight="1">
      <c r="A16" s="21" t="s">
        <v>101</v>
      </c>
      <c r="B16" s="21" t="s">
        <v>102</v>
      </c>
      <c r="C16" s="10">
        <f>+'Detalle de Lineas'!$D$5*0.5</f>
        <v>20850</v>
      </c>
      <c r="D16" s="10">
        <f>C16*'base de produccion'!$B$4</f>
        <v>6505200</v>
      </c>
      <c r="E16" s="15">
        <v>3800.0</v>
      </c>
      <c r="F16" s="14">
        <f t="shared" si="3"/>
        <v>24719.76</v>
      </c>
    </row>
    <row r="17" ht="14.25" customHeight="1">
      <c r="A17" s="21" t="s">
        <v>101</v>
      </c>
      <c r="B17" s="21" t="s">
        <v>105</v>
      </c>
      <c r="C17" s="10">
        <f>+'Detalle de Lineas'!$D$5*0.3</f>
        <v>12510</v>
      </c>
      <c r="D17" s="10">
        <f>C17*'base de produccion'!$B$4</f>
        <v>3903120</v>
      </c>
      <c r="E17" s="15">
        <v>6800.0</v>
      </c>
      <c r="F17" s="14">
        <f t="shared" si="3"/>
        <v>26541.216</v>
      </c>
    </row>
    <row r="18" ht="14.25" customHeight="1">
      <c r="A18" s="21" t="s">
        <v>101</v>
      </c>
      <c r="B18" s="21" t="s">
        <v>106</v>
      </c>
      <c r="C18" s="10">
        <f>+'Detalle de Lineas'!$D$5*0.2</f>
        <v>8340</v>
      </c>
      <c r="D18" s="10">
        <f>C18*'base de produccion'!$B$4</f>
        <v>2602080</v>
      </c>
      <c r="E18" s="15">
        <v>16000.0</v>
      </c>
      <c r="F18" s="14">
        <f t="shared" si="3"/>
        <v>41633.28</v>
      </c>
    </row>
    <row r="19" ht="14.25" customHeight="1">
      <c r="E19" s="14"/>
      <c r="F19" s="14">
        <f>SUM(F10:F18)</f>
        <v>283232.2497</v>
      </c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1.13"/>
    <col customWidth="1" min="2" max="2" width="18.63"/>
    <col customWidth="1" min="3" max="6" width="11.5"/>
    <col customWidth="1" min="7" max="26" width="10.63"/>
  </cols>
  <sheetData>
    <row r="1" ht="14.25" customHeight="1">
      <c r="A1" s="1" t="s">
        <v>1</v>
      </c>
      <c r="B1" s="1" t="s">
        <v>2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7" t="s">
        <v>3</v>
      </c>
      <c r="B2" s="12">
        <f>'base de produccion'!B8</f>
        <v>112320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A3" s="7" t="s">
        <v>16</v>
      </c>
      <c r="B3" s="12">
        <f>'base de produccion'!$B$21</f>
        <v>26000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7" t="s">
        <v>20</v>
      </c>
      <c r="B4" s="12">
        <f>'base de produccion'!$B$22</f>
        <v>33000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 customHeight="1">
      <c r="A5" s="7" t="s">
        <v>25</v>
      </c>
      <c r="B5" s="12">
        <f>'base de produccion'!$B$23</f>
        <v>15000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25" customHeight="1">
      <c r="A6" s="7" t="s">
        <v>33</v>
      </c>
      <c r="B6" s="12">
        <v>8000.0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4.25" customHeight="1">
      <c r="A7" s="7" t="s">
        <v>39</v>
      </c>
      <c r="B7" s="12">
        <f>'base de produccion'!$B$14*'base de produccion'!$B$15*12/1000000</f>
        <v>9288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4.25" customHeight="1">
      <c r="A8" s="7" t="s">
        <v>46</v>
      </c>
      <c r="B8" s="12">
        <f>'base de produccion'!$B$25</f>
        <v>8700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4.25" customHeight="1">
      <c r="A9" s="7" t="s">
        <v>49</v>
      </c>
      <c r="B9" s="12">
        <f>SUM(B2:B8)</f>
        <v>212308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4.25" customHeight="1">
      <c r="A10" s="7" t="s">
        <v>50</v>
      </c>
      <c r="B10" s="12">
        <v>14000.0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4.25" customHeight="1">
      <c r="A11" s="7" t="s">
        <v>51</v>
      </c>
      <c r="B11" s="12">
        <v>9000.0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4.25" customHeight="1">
      <c r="A12" s="7" t="s">
        <v>56</v>
      </c>
      <c r="B12" s="12">
        <f>'base de produccion'!B16*'base de produccion'!B17*12/1000000</f>
        <v>4860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25" customHeight="1">
      <c r="A13" s="7" t="s">
        <v>58</v>
      </c>
      <c r="B13" s="12">
        <v>17000.0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4.25" customHeight="1">
      <c r="A14" s="7" t="s">
        <v>59</v>
      </c>
      <c r="B14" s="12">
        <f>SUM(B10:B13)</f>
        <v>44860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4.25" customHeight="1">
      <c r="A15" s="16" t="s">
        <v>61</v>
      </c>
      <c r="B15" s="17">
        <f>B14+B9</f>
        <v>257168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4.2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4.2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4.2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4.2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4.2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4.2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4.2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4.2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4.2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4.2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4.2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4.2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4.2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4.2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4.2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4.2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4.2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4.2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4.2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4.2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4.2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4.2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4.2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4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4.2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4.2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4.2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.2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4.2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4.2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4.2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4.2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4.2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4.2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4.2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4.2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.2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4.2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4.2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4.2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4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4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4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4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4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4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4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4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4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4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4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4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4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4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4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4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4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4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4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4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4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4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4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4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4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4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4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4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4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4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4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4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4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4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4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4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4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4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4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4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4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4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4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4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4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4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4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4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4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4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4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4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4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4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4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4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4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4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4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4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4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4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4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4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4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4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4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4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4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4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4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4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4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4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4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4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4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4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4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4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4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4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4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4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4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4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4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4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4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4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4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4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4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4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4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4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4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4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4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4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4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4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4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4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4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4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4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4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4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4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4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4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4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4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4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4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4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4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4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4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4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4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4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4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4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4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4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4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4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4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4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4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4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4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4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4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4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4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4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4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4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4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4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4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4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4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4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4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4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4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4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4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4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4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4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4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4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4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4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4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4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4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4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4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4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4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4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4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4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4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4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4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4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4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4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4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4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4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4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4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4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4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4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4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4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4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4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4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4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4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4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4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4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4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4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4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4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4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4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4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4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4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4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4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4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4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4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4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4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4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4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4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4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4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4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4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4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4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4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4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4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4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4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4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4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4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4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4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4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4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4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4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4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4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4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4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4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4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4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4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4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4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4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4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4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4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4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4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4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4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4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4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4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4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4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4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4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4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4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4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4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4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4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4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4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4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4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4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4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4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4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4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4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4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4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4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4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4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4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4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4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4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4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4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4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4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4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4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4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4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4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4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4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4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4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4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4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4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4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4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4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4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4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4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4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4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4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4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4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4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4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4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4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4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4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4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4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4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4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4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4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4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4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4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4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4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4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4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4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4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4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4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4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4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4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4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4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4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4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4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4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4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4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4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4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4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4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4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4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4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4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4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4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4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4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4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4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4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4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4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4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4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4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4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4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4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4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4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4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4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4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4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4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4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4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4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4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4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4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4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4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4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4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4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4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4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4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4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4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4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4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4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4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4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4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4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4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4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4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4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4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4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4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4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4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4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4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4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4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4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4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4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4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4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4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4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4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4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4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4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4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4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4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4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4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4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4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4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4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4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4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4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4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4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4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4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4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4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4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4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4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4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4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4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4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4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4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4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4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4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4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4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4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4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4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4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4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4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4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4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4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4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4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4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4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4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4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4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4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4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4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4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4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4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4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4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4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4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4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4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4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4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4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4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4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4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4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4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4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4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4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4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4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4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4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4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4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4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4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4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4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4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4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4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4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4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4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4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4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4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4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4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4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4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4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4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4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4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4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4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4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4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4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4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4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4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4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4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4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4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4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4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4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4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4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4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4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4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4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4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4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4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4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4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4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4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4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4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4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4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4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4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4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4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4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4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4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4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4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4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4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4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4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4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4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4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4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4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4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4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4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4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4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4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4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4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4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4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4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4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4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4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4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4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4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4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4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4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4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4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4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4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4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4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4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4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4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4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4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4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4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4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4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4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4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4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4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4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4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4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4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4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4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4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4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4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4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4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4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4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4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4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4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4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4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4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4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4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4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4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4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4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4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4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4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4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4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4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4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4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4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4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4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4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4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4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4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4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4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4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4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4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4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4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4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4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4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4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4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4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4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4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4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4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4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4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4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4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4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4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4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4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4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4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4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4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4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4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4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4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4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4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4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4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4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4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4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4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4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4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4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4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4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4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4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4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4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4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4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4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4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4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4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4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4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4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4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4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4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4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4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4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4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4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4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4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4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4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4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4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4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4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4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4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4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4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4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4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4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4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4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4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4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4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4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4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4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4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4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4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4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4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4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4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4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4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4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4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4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4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4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4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4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4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4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4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4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4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4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4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4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4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4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4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4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4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4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4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4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4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4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4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4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4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4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4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4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4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4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4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4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4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4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4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4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4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4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4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4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4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4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4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4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4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4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4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4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4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4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4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4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4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4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4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4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4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4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4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4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4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4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4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4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4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4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4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4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4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4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4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4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4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4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4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4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4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4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4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4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4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4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4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4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4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4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4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4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4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4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4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4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4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4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4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4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4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4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4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4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4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4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4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4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4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4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4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4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4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4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4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4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4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4.2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4.2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0"/>
    <col customWidth="1" min="2" max="2" width="28.75"/>
    <col customWidth="1" min="3" max="3" width="17.88"/>
    <col customWidth="1" min="4" max="4" width="19.63"/>
    <col customWidth="1" min="5" max="6" width="11.5"/>
    <col customWidth="1" min="7" max="26" width="10.63"/>
  </cols>
  <sheetData>
    <row r="1" ht="14.25" customHeight="1">
      <c r="A1" s="5" t="s">
        <v>1</v>
      </c>
      <c r="B1" s="1" t="s">
        <v>5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7" t="s">
        <v>13</v>
      </c>
      <c r="B2" s="13">
        <v>3500.0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A3" s="7" t="s">
        <v>17</v>
      </c>
      <c r="B3" s="13">
        <v>2100.0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7" t="s">
        <v>24</v>
      </c>
      <c r="B4" s="13">
        <v>1800.0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 customHeight="1">
      <c r="A5" s="7" t="s">
        <v>26</v>
      </c>
      <c r="B5" s="13">
        <v>1100.0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25" customHeight="1">
      <c r="A6" s="7" t="s">
        <v>32</v>
      </c>
      <c r="B6" s="13">
        <v>870.0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4.25" customHeight="1">
      <c r="A7" s="7" t="s">
        <v>37</v>
      </c>
      <c r="B7" s="13">
        <v>720.0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4.25" customHeight="1">
      <c r="A8" s="16" t="s">
        <v>41</v>
      </c>
      <c r="B8" s="17">
        <f>SUM(B2:B7)</f>
        <v>10090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4.2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4.2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4.25" customHeight="1">
      <c r="A11" s="1" t="s">
        <v>52</v>
      </c>
      <c r="B11" s="1" t="s">
        <v>53</v>
      </c>
      <c r="C11" s="1" t="s">
        <v>54</v>
      </c>
      <c r="D11" s="1" t="s">
        <v>55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4.25" customHeight="1">
      <c r="A12" s="7" t="s">
        <v>57</v>
      </c>
      <c r="B12" s="12">
        <v>35000.0</v>
      </c>
      <c r="C12" s="7">
        <v>10.0</v>
      </c>
      <c r="D12" s="12">
        <f t="shared" ref="D12:D16" si="1">B12/C12</f>
        <v>3500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25" customHeight="1">
      <c r="A13" s="7" t="s">
        <v>24</v>
      </c>
      <c r="B13" s="12">
        <v>15000.0</v>
      </c>
      <c r="C13" s="7">
        <v>10.0</v>
      </c>
      <c r="D13" s="12">
        <f t="shared" si="1"/>
        <v>1500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4.25" customHeight="1">
      <c r="A14" s="7" t="s">
        <v>60</v>
      </c>
      <c r="B14" s="12">
        <v>12000.0</v>
      </c>
      <c r="C14" s="7">
        <v>12.0</v>
      </c>
      <c r="D14" s="12">
        <f t="shared" si="1"/>
        <v>1000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4.25" customHeight="1">
      <c r="A15" s="7" t="s">
        <v>62</v>
      </c>
      <c r="B15" s="12">
        <v>6000.0</v>
      </c>
      <c r="C15" s="7">
        <v>10.0</v>
      </c>
      <c r="D15" s="12">
        <f t="shared" si="1"/>
        <v>600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4.25" customHeight="1">
      <c r="A16" s="7" t="s">
        <v>63</v>
      </c>
      <c r="B16" s="12">
        <v>2000.0</v>
      </c>
      <c r="C16" s="7">
        <v>5.0</v>
      </c>
      <c r="D16" s="12">
        <f t="shared" si="1"/>
        <v>400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4.25" customHeight="1">
      <c r="A17" s="16" t="s">
        <v>41</v>
      </c>
      <c r="B17" s="17">
        <f>SUM(B12:B16)</f>
        <v>70000</v>
      </c>
      <c r="C17" s="7"/>
      <c r="D17" s="17">
        <f>SUM(D12:D16)</f>
        <v>7000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4.2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4.2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4.2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4.2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4.2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4.2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4.2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4.2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4.2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4.2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4.2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4.2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4.2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4.2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4.2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4.2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4.2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4.2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4.2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4.2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4.2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4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4.2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4.2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4.2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.2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4.2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4.2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4.2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4.2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4.2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4.2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4.2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4.2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.2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4.2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4.2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4.2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4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4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4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4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4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4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4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4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4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4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4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4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4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4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4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4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4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4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4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4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4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4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4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4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4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4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4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4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4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4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4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4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4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4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4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4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4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4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4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4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4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4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4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4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4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4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4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4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4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4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4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4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4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4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4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4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4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4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4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4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4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4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4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4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4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4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4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4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4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4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4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4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4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4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4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4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4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4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4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4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4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4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4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4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4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4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4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4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4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4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4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4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4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4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4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4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4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4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4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4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4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4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4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4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4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4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4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4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4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4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4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4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4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4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4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4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4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4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4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4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4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4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4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4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4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4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4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4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4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4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4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4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4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4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4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4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4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4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4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4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4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4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4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4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4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4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4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4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4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4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4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4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4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4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4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4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4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4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4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4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4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4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4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4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4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4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4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4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4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4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4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4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4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4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4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4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4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4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4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4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4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4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4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4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4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4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4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4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4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4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4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4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4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4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4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4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4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4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4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4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4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4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4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4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4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4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4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4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4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4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4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4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4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4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4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4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4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4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4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4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4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4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4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4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4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4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4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4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4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4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4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4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4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4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4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4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4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4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4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4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4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4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4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4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4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4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4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4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4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4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4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4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4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4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4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4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4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4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4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4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4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4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4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4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4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4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4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4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4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4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4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4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4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4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4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4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4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4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4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4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4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4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4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4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4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4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4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4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4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4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4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4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4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4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4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4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4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4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4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4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4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4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4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4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4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4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4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4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4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4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4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4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4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4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4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4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4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4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4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4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4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4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4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4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4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4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4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4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4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4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4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4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4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4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4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4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4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4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4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4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4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4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4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4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4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4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4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4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4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4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4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4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4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4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4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4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4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4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4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4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4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4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4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4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4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4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4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4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4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4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4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4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4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4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4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4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4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4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4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4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4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4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4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4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4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4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4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4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4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4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4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4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4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4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4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4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4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4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4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4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4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4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4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4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4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4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4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4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4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4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4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4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4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4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4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4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4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4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4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4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4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4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4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4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4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4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4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4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4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4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4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4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4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4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4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4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4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4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4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4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4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4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4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4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4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4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4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4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4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4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4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4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4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4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4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4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4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4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4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4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4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4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4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4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4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4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4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4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4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4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4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4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4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4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4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4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4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4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4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4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4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4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4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4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4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4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4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4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4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4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4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4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4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4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4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4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4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4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4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4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4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4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4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4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4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4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4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4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4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4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4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4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4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4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4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4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4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4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4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4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4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4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4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4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4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4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4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4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4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4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4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4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4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4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4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4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4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4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4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4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4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4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4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4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4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4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4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4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4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4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4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4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4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4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4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4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4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4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4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4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4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4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4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4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4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4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4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4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4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4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4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4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4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4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4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4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4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4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4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4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4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4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4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4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4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4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4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4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4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4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4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4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4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4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4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4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4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4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4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4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4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4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4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4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4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4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4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4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4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4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4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4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4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4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4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4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4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4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4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4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4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4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4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4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4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4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4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4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4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4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4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4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4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4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4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4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4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4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4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4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4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4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4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4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4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4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4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4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4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4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4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4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4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4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4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4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4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4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4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4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4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4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4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4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4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4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4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4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4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4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4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4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4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4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4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4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4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4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4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4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4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4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4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4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4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4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4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4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4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4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4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4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4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4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4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4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4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4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4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4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4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4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4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4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4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4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4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4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4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4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4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4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4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4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4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4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4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4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4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4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4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4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4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4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4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4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4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4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4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4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4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4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4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4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4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4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4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4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4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4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4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4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4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4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4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4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4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4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4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4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4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4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4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4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4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4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4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4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4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4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4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4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4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4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4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4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4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4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4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4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4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4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4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4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4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4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4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4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4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4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4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4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4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4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4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4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4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4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4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4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4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4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4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4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4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4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4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4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4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4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4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4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4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4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4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4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4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4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4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4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4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4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4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4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4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4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4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4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4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4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4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4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4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4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4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4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4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4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4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4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4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4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4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4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4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4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4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4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4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4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4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4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4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4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4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4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4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4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4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4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4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4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4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4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4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4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4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4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4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4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4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4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4.2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4.2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25"/>
    <col customWidth="1" min="2" max="3" width="13.25"/>
    <col customWidth="1" min="4" max="4" width="12.63"/>
    <col customWidth="1" min="5" max="5" width="13.75"/>
    <col customWidth="1" min="6" max="7" width="11.5"/>
    <col customWidth="1" min="8" max="8" width="32.75"/>
    <col customWidth="1" min="9" max="9" width="11.5"/>
    <col customWidth="1" min="10" max="26" width="10.63"/>
  </cols>
  <sheetData>
    <row r="1" ht="14.25" customHeight="1">
      <c r="A1" s="1" t="s">
        <v>1</v>
      </c>
      <c r="B1" s="1" t="s">
        <v>75</v>
      </c>
      <c r="C1" s="1" t="s">
        <v>76</v>
      </c>
      <c r="D1" s="1" t="s">
        <v>77</v>
      </c>
      <c r="E1" s="1" t="s">
        <v>78</v>
      </c>
      <c r="F1" s="3"/>
      <c r="G1" s="3"/>
      <c r="H1" s="1" t="s">
        <v>79</v>
      </c>
      <c r="I1" s="1" t="s">
        <v>80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7" t="s">
        <v>81</v>
      </c>
      <c r="B2" s="12">
        <f>+'Detalle de Lineas'!F10</f>
        <v>70721.1648</v>
      </c>
      <c r="C2" s="12">
        <f>+'Detalle de Lineas'!F11</f>
        <v>48090.39206</v>
      </c>
      <c r="D2" s="12">
        <f>+'Detalle de Lineas'!F12</f>
        <v>26520.4368</v>
      </c>
      <c r="E2" s="12">
        <f t="shared" ref="E2:E3" si="1">D2+C2+B2</f>
        <v>145331.9937</v>
      </c>
      <c r="F2" s="3"/>
      <c r="G2" s="3"/>
      <c r="H2" s="7" t="s">
        <v>89</v>
      </c>
      <c r="I2" s="7">
        <v>13.0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A3" s="7" t="s">
        <v>91</v>
      </c>
      <c r="B3" s="12">
        <f>B2*0.06</f>
        <v>4243.269888</v>
      </c>
      <c r="C3" s="12">
        <f>C2*0.05</f>
        <v>2404.519603</v>
      </c>
      <c r="D3" s="12">
        <f>D2*0.06</f>
        <v>1591.226208</v>
      </c>
      <c r="E3" s="12">
        <f t="shared" si="1"/>
        <v>8239.015699</v>
      </c>
      <c r="F3" s="3"/>
      <c r="G3" s="3"/>
      <c r="H3" s="7" t="s">
        <v>93</v>
      </c>
      <c r="I3" s="7">
        <v>13.0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16" t="s">
        <v>96</v>
      </c>
      <c r="B4" s="12">
        <f t="shared" ref="B4:E4" si="2">B2-B3</f>
        <v>66477.89491</v>
      </c>
      <c r="C4" s="12">
        <f t="shared" si="2"/>
        <v>45685.87246</v>
      </c>
      <c r="D4" s="12">
        <f t="shared" si="2"/>
        <v>24929.21059</v>
      </c>
      <c r="E4" s="12">
        <f t="shared" si="2"/>
        <v>137092.978</v>
      </c>
      <c r="F4" s="3"/>
      <c r="G4" s="3"/>
      <c r="H4" s="7" t="s">
        <v>97</v>
      </c>
      <c r="I4" s="7">
        <v>9.0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 customHeight="1">
      <c r="A5" s="7" t="s">
        <v>99</v>
      </c>
      <c r="B5" s="12">
        <f>(('Detalle de Lineas'!$B$3*0.5)*'base de produccion'!$B$6*'base de produccion'!$B$4)/1000000</f>
        <v>21827.52</v>
      </c>
      <c r="C5" s="12">
        <f>(('Detalle de Lineas'!$B$3*0.4)*'base de produccion'!$B$6*'base de produccion'!$B$4)/1000000</f>
        <v>17462.016</v>
      </c>
      <c r="D5" s="12">
        <f>(('Detalle de Lineas'!$B$3*0.1)*'base de produccion'!$B$6*'base de produccion'!$B$4)/1000000</f>
        <v>4365.504</v>
      </c>
      <c r="E5" s="12">
        <f>SUM(B5:D5)</f>
        <v>43655.04</v>
      </c>
      <c r="F5" s="3"/>
      <c r="G5" s="3"/>
      <c r="H5" s="7" t="s">
        <v>103</v>
      </c>
      <c r="I5" s="22">
        <f>I2+I3+I4</f>
        <v>35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25" customHeight="1">
      <c r="A6" s="7" t="s">
        <v>104</v>
      </c>
      <c r="B6" s="12">
        <f>B2*0.18</f>
        <v>12729.80966</v>
      </c>
      <c r="C6" s="12">
        <f>C2*0.08</f>
        <v>3847.231365</v>
      </c>
      <c r="D6" s="12">
        <f>D2*0.1</f>
        <v>2652.04368</v>
      </c>
      <c r="E6" s="12">
        <f t="shared" ref="E6:E15" si="3">D6+C6+B6</f>
        <v>19229.08471</v>
      </c>
      <c r="F6" s="3"/>
      <c r="G6" s="3"/>
      <c r="H6" s="7" t="s">
        <v>107</v>
      </c>
      <c r="I6" s="23">
        <v>22.0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4.25" customHeight="1">
      <c r="A7" s="7" t="s">
        <v>20</v>
      </c>
      <c r="B7" s="12">
        <f>B2*0.14</f>
        <v>9900.963072</v>
      </c>
      <c r="C7" s="12">
        <f>C2*0.13</f>
        <v>6251.750968</v>
      </c>
      <c r="D7" s="12">
        <f>D2*0.16</f>
        <v>4243.269888</v>
      </c>
      <c r="E7" s="12">
        <f t="shared" si="3"/>
        <v>20395.98393</v>
      </c>
      <c r="F7" s="3"/>
      <c r="G7" s="3"/>
      <c r="H7" s="7" t="s">
        <v>108</v>
      </c>
      <c r="I7" s="23">
        <v>21.0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4.25" customHeight="1">
      <c r="A8" s="7" t="s">
        <v>109</v>
      </c>
      <c r="B8" s="12">
        <f>I6*'base de produccion'!$B$15*12/1000000</f>
        <v>1135.2</v>
      </c>
      <c r="C8" s="12">
        <f>I7*'base de produccion'!$B$15*12/1000000</f>
        <v>1083.6</v>
      </c>
      <c r="D8" s="12">
        <f>I8*'base de produccion'!$B$15*12/1000000</f>
        <v>722.4</v>
      </c>
      <c r="E8" s="12">
        <f t="shared" si="3"/>
        <v>2941.2</v>
      </c>
      <c r="F8" s="3"/>
      <c r="G8" s="3"/>
      <c r="H8" s="7" t="s">
        <v>110</v>
      </c>
      <c r="I8" s="23">
        <v>14.0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4.25" customHeight="1">
      <c r="A9" s="16" t="s">
        <v>111</v>
      </c>
      <c r="B9" s="12">
        <f t="shared" ref="B9:D9" si="4">B4-SUM(B5:B8)</f>
        <v>20884.40218</v>
      </c>
      <c r="C9" s="12">
        <f t="shared" si="4"/>
        <v>17041.27413</v>
      </c>
      <c r="D9" s="12">
        <f t="shared" si="4"/>
        <v>12945.99302</v>
      </c>
      <c r="E9" s="12">
        <f t="shared" si="3"/>
        <v>50871.66933</v>
      </c>
      <c r="F9" s="3"/>
      <c r="G9" s="3"/>
      <c r="H9" s="7" t="s">
        <v>112</v>
      </c>
      <c r="I9" s="24">
        <v>5100.0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4.25" customHeight="1">
      <c r="A10" s="7" t="s">
        <v>113</v>
      </c>
      <c r="B10" s="12">
        <v>2223.9</v>
      </c>
      <c r="C10" s="12">
        <v>1813.7</v>
      </c>
      <c r="D10" s="12">
        <v>762.4</v>
      </c>
      <c r="E10" s="12">
        <f t="shared" si="3"/>
        <v>4800</v>
      </c>
      <c r="F10" s="3"/>
      <c r="G10" s="3"/>
      <c r="H10" s="7" t="s">
        <v>114</v>
      </c>
      <c r="I10" s="24">
        <v>2700.0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4.25" customHeight="1">
      <c r="A11" s="7" t="s">
        <v>115</v>
      </c>
      <c r="B11" s="12">
        <f>$I$10*I2/$I$5</f>
        <v>1002.857143</v>
      </c>
      <c r="C11" s="12">
        <f>$I$10*I3/$I$5</f>
        <v>1002.857143</v>
      </c>
      <c r="D11" s="12">
        <f>$I$10*I4/$I$5</f>
        <v>694.2857143</v>
      </c>
      <c r="E11" s="12">
        <f t="shared" si="3"/>
        <v>2700</v>
      </c>
      <c r="F11" s="3"/>
      <c r="G11" s="3"/>
      <c r="H11" s="7" t="s">
        <v>116</v>
      </c>
      <c r="I11" s="7">
        <v>760.0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4.25" customHeight="1">
      <c r="A12" s="7" t="s">
        <v>117</v>
      </c>
      <c r="B12" s="12">
        <f t="shared" ref="B12:B13" si="5">I11*$I$2/$I$5</f>
        <v>282.2857143</v>
      </c>
      <c r="C12" s="12">
        <f t="shared" ref="C12:C13" si="6">I11*$I$3/$I$5</f>
        <v>282.2857143</v>
      </c>
      <c r="D12" s="12">
        <f t="shared" ref="D12:D13" si="7">I11*$I$4/$I$5</f>
        <v>195.4285714</v>
      </c>
      <c r="E12" s="12">
        <f t="shared" si="3"/>
        <v>760</v>
      </c>
      <c r="F12" s="3"/>
      <c r="G12" s="3"/>
      <c r="H12" s="7" t="s">
        <v>118</v>
      </c>
      <c r="I12" s="24">
        <v>1500.0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25" customHeight="1">
      <c r="A13" s="7" t="s">
        <v>119</v>
      </c>
      <c r="B13" s="12">
        <f t="shared" si="5"/>
        <v>557.1428571</v>
      </c>
      <c r="C13" s="12">
        <f t="shared" si="6"/>
        <v>557.1428571</v>
      </c>
      <c r="D13" s="12">
        <f t="shared" si="7"/>
        <v>385.7142857</v>
      </c>
      <c r="E13" s="12">
        <f t="shared" si="3"/>
        <v>1500</v>
      </c>
      <c r="F13" s="3"/>
      <c r="G13" s="3"/>
      <c r="H13" s="7" t="s">
        <v>120</v>
      </c>
      <c r="I13" s="25">
        <v>0.075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4.25" customHeight="1">
      <c r="A14" s="7" t="s">
        <v>121</v>
      </c>
      <c r="B14" s="12">
        <f t="shared" ref="B14:D14" si="8">B4*$I$13</f>
        <v>4985.842118</v>
      </c>
      <c r="C14" s="12">
        <f t="shared" si="8"/>
        <v>3426.440435</v>
      </c>
      <c r="D14" s="12">
        <f t="shared" si="8"/>
        <v>1869.690794</v>
      </c>
      <c r="E14" s="12">
        <f t="shared" si="3"/>
        <v>10281.97335</v>
      </c>
      <c r="F14" s="3"/>
      <c r="G14" s="3"/>
      <c r="H14" s="7" t="s">
        <v>122</v>
      </c>
      <c r="I14" s="24">
        <v>1370.0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4.25" customHeight="1">
      <c r="A15" s="26" t="s">
        <v>123</v>
      </c>
      <c r="B15" s="12">
        <f t="shared" ref="B15:D15" si="9">B9-SUM(B10:B14)</f>
        <v>11832.37434</v>
      </c>
      <c r="C15" s="12">
        <f t="shared" si="9"/>
        <v>9958.847979</v>
      </c>
      <c r="D15" s="12">
        <f t="shared" si="9"/>
        <v>9038.473658</v>
      </c>
      <c r="E15" s="12">
        <f t="shared" si="3"/>
        <v>30829.69598</v>
      </c>
      <c r="F15" s="3"/>
      <c r="G15" s="3"/>
      <c r="H15" s="7" t="s">
        <v>124</v>
      </c>
      <c r="I15" s="7">
        <v>980.0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4.25" customHeight="1">
      <c r="A16" s="16" t="s">
        <v>125</v>
      </c>
      <c r="B16" s="27">
        <f t="shared" ref="B16:E16" si="10">B15/B4</f>
        <v>0.1779896063</v>
      </c>
      <c r="C16" s="27">
        <f t="shared" si="10"/>
        <v>0.2179852861</v>
      </c>
      <c r="D16" s="27">
        <f t="shared" si="10"/>
        <v>0.3625655784</v>
      </c>
      <c r="E16" s="27">
        <f t="shared" si="10"/>
        <v>0.2248816565</v>
      </c>
      <c r="F16" s="3"/>
      <c r="G16" s="3"/>
      <c r="H16" s="7" t="s">
        <v>126</v>
      </c>
      <c r="I16" s="23">
        <v>580.0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4.25" customHeight="1">
      <c r="A17" s="7" t="s">
        <v>127</v>
      </c>
      <c r="B17" s="12">
        <v>1260.0</v>
      </c>
      <c r="C17" s="12">
        <v>980.0</v>
      </c>
      <c r="D17" s="12">
        <v>560.0</v>
      </c>
      <c r="E17" s="12">
        <f t="shared" ref="E17:E18" si="12">D17+C17+B17</f>
        <v>2800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4.25" customHeight="1">
      <c r="A18" s="26" t="s">
        <v>128</v>
      </c>
      <c r="B18" s="12">
        <f t="shared" ref="B18:D18" si="11">B15-B17</f>
        <v>10572.37434</v>
      </c>
      <c r="C18" s="12">
        <f t="shared" si="11"/>
        <v>8978.847979</v>
      </c>
      <c r="D18" s="12">
        <f t="shared" si="11"/>
        <v>8478.473658</v>
      </c>
      <c r="E18" s="12">
        <f t="shared" si="12"/>
        <v>28029.69598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4.2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4.2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4.2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4.2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4.2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4.2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4.2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4.2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4.2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4.2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4.2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4.2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4.2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4.2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4.2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4.2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4.2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4.2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4.2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4.2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4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4.2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4.2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4.2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.2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4.2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4.2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4.2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4.2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4.2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4.2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4.2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4.2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.2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4.2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4.2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4.2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4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4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4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4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4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4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4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4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4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4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4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4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4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4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4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4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4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4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4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4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4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4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4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4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4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4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4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4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4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4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4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4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4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4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4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4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4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4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4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4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4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4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4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4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4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4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4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4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4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4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4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4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4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4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4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4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4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4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4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4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4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4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4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4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4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4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4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4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4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4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4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4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4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4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4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4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4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4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4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4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4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4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4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4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4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4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4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4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4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4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4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4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4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4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4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4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4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4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4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4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4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4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4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4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4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4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4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4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4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4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4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4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4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4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4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4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4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4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4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4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4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4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4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4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4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4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4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4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4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4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4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4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4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4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4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4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4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4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4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4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4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4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4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4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4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4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4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4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4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4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4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4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4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4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4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4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4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4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4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4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4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4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4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4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4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4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4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4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4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4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4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4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4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4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4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4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4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4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4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4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4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4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4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4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4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4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4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4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4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4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4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4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4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4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4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4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4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4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4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4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4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4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4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4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4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4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4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4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4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4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4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4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4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4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4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4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4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4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4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4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4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4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4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4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4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4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4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4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4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4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4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4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4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4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4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4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4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4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4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4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4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4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4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4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4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4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4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4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4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4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4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4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4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4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4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4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4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4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4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4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4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4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4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4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4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4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4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4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4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4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4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4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4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4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4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4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4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4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4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4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4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4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4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4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4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4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4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4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4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4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4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4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4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4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4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4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4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4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4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4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4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4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4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4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4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4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4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4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4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4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4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4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4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4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4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4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4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4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4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4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4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4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4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4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4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4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4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4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4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4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4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4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4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4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4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4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4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4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4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4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4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4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4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4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4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4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4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4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4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4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4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4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4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4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4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4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4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4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4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4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4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4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4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4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4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4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4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4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4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4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4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4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4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4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4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4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4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4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4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4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4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4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4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4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4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4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4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4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4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4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4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4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4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4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4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4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4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4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4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4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4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4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4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4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4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4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4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4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4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4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4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4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4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4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4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4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4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4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4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4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4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4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4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4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4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4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4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4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4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4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4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4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4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4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4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4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4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4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4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4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4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4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4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4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4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4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4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4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4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4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4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4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4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4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4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4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4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4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4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4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4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4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4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4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4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4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4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4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4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4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4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4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4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4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4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4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4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4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4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4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4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4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4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4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4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4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4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4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4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4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4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4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4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4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4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4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4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4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4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4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4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4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4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4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4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4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4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4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4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4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4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4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4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4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4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4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4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4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4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4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4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4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4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4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4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4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4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4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4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4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4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4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4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4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4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4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4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4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4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4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4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4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4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4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4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4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4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4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4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4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4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4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4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4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4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4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4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4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4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4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4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4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4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4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4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4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4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4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4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4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4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4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4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4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4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4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4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4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4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4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4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4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4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4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4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4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4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4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4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4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4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4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4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4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4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4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4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4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4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4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4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4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4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4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4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4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4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4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4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4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4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4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4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4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4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4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4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4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4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4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4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4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4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4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4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4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4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4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4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4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4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4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4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4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4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4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4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4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4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4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4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4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4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4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4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4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4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4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4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4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4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4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4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4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4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4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4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4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4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4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4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4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4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4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4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4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4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4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4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4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4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4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4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4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4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4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4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4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4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4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4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4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4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4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4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4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4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4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4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4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4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4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4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4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4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4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4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4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4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4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4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4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4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4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4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4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4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4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4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4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4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4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4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4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4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4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4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4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4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4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4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4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4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4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4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4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4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4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4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4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4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4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4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4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4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4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4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4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4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4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4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4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4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4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4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4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4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4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4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4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4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4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4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4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4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4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4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4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4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4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4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4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4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4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4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4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4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4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4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4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4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4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4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4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4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4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4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4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4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4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4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4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4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4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4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4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4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4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4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4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4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4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4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4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4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4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4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4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4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4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4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4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4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4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4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4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4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4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4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4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4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4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4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4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4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4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4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4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4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4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4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4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4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4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4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4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4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4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4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4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4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4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4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4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4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4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4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4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4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4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4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4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4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4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4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4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4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4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4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4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4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4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4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4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4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4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4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4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4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4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4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4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4.2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4.2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75"/>
    <col customWidth="1" min="2" max="2" width="12.75"/>
    <col customWidth="1" min="3" max="3" width="11.5"/>
    <col customWidth="1" min="4" max="4" width="21.38"/>
    <col customWidth="1" min="5" max="12" width="11.5"/>
    <col customWidth="1" min="13" max="26" width="10.63"/>
  </cols>
  <sheetData>
    <row r="1" ht="29.25" customHeight="1">
      <c r="A1" s="28" t="s">
        <v>129</v>
      </c>
      <c r="B1" s="4"/>
      <c r="C1" s="4"/>
      <c r="D1" s="4"/>
      <c r="E1" s="4"/>
      <c r="F1" s="4"/>
      <c r="G1" s="4"/>
      <c r="H1" s="4"/>
      <c r="I1" s="4"/>
      <c r="J1" s="4"/>
      <c r="K1" s="4"/>
      <c r="L1" s="6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7" t="s">
        <v>130</v>
      </c>
      <c r="B2" s="14">
        <f>'Detalle de Lineas'!F19</f>
        <v>283232.2497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A3" s="7" t="s">
        <v>131</v>
      </c>
      <c r="B3" s="14">
        <f>OPEX!B9</f>
        <v>212308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7" t="s">
        <v>132</v>
      </c>
      <c r="B4" s="14">
        <f>B2-B3</f>
        <v>70924.24966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 customHeight="1">
      <c r="A5" s="7" t="s">
        <v>133</v>
      </c>
      <c r="B5" s="14">
        <f>OPEX!B14</f>
        <v>44860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25" customHeight="1">
      <c r="A6" s="7" t="s">
        <v>134</v>
      </c>
      <c r="B6" s="14">
        <f>B4-B5</f>
        <v>26064.24966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4.25" customHeight="1">
      <c r="A7" s="7" t="s">
        <v>135</v>
      </c>
      <c r="B7" s="14">
        <f>CAPEX!D17</f>
        <v>7000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4.25" customHeight="1">
      <c r="A8" s="7" t="s">
        <v>136</v>
      </c>
      <c r="B8" s="14">
        <f>B6-B7</f>
        <v>19064.24966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4.25" customHeight="1">
      <c r="A9" s="7" t="s">
        <v>137</v>
      </c>
      <c r="B9" s="14">
        <f>'base de produccion'!B10</f>
        <v>4500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4.25" customHeight="1">
      <c r="A10" s="7" t="s">
        <v>138</v>
      </c>
      <c r="B10" s="14">
        <f>B8-B9</f>
        <v>14564.24966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4.25" customHeight="1">
      <c r="A11" s="7" t="s">
        <v>139</v>
      </c>
      <c r="B11" s="14">
        <f>B10*0.35</f>
        <v>5097.487382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4.25" customHeight="1">
      <c r="A12" s="7" t="s">
        <v>140</v>
      </c>
      <c r="B12" s="14">
        <f>B10-B11</f>
        <v>9466.762282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2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4.2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4.25" customHeight="1">
      <c r="A15" s="28" t="s">
        <v>141</v>
      </c>
      <c r="B15" s="6"/>
      <c r="C15" s="3"/>
      <c r="D15" s="28" t="s">
        <v>142</v>
      </c>
      <c r="E15" s="6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4.25" customHeight="1">
      <c r="A16" s="7" t="s">
        <v>140</v>
      </c>
      <c r="B16" s="14">
        <f>B12</f>
        <v>9466.762282</v>
      </c>
      <c r="C16" s="3"/>
      <c r="D16" s="7" t="s">
        <v>143</v>
      </c>
      <c r="E16" s="29">
        <f>B4/B2</f>
        <v>0.250410219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4.25" customHeight="1">
      <c r="A17" s="7" t="s">
        <v>144</v>
      </c>
      <c r="B17" s="14">
        <f>B7</f>
        <v>7000</v>
      </c>
      <c r="C17" s="3"/>
      <c r="D17" s="7" t="s">
        <v>145</v>
      </c>
      <c r="E17" s="29">
        <f>B6/B2</f>
        <v>0.09202430053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4.25" customHeight="1">
      <c r="A18" s="7" t="s">
        <v>146</v>
      </c>
      <c r="B18" s="14">
        <f>'base de produccion'!B12</f>
        <v>4000</v>
      </c>
      <c r="C18" s="3"/>
      <c r="D18" s="7" t="s">
        <v>147</v>
      </c>
      <c r="E18" s="29">
        <f>B8/B2</f>
        <v>0.06730960082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4.25" customHeight="1">
      <c r="A19" s="7" t="s">
        <v>148</v>
      </c>
      <c r="B19" s="14">
        <f>B16+B17-B18</f>
        <v>12466.76228</v>
      </c>
      <c r="C19" s="3"/>
      <c r="D19" s="7" t="s">
        <v>149</v>
      </c>
      <c r="E19" s="29">
        <f>+B12/B2</f>
        <v>0.03342402672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4.25" customHeight="1">
      <c r="A20" s="7" t="s">
        <v>28</v>
      </c>
      <c r="B20" s="14">
        <f>CAPEX!B8</f>
        <v>10090</v>
      </c>
      <c r="C20" s="3"/>
      <c r="D20" s="7" t="s">
        <v>150</v>
      </c>
      <c r="E20" s="30">
        <f>B6/('base de produccion'!$B$7/1000000)</f>
        <v>556.9284116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4.25" customHeight="1">
      <c r="A21" s="7" t="s">
        <v>151</v>
      </c>
      <c r="B21" s="14">
        <f>B19-B20</f>
        <v>2376.762282</v>
      </c>
      <c r="C21" s="3"/>
      <c r="D21" s="7" t="s">
        <v>152</v>
      </c>
      <c r="E21" s="30">
        <f>B16/('base de produccion'!B7/1000000)</f>
        <v>202.2812453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4.25" customHeight="1">
      <c r="A22" s="3"/>
      <c r="B22" s="3"/>
      <c r="C22" s="3"/>
      <c r="D22" s="7" t="s">
        <v>153</v>
      </c>
      <c r="E22" s="30">
        <f>OPEX!B15/('base de produccion'!$B$7/1000000)</f>
        <v>5495.042735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4.25" customHeight="1">
      <c r="A23" s="3"/>
      <c r="B23" s="3"/>
      <c r="C23" s="3"/>
      <c r="D23" s="31" t="s">
        <v>154</v>
      </c>
      <c r="E23" s="30">
        <f>B21/('base de produccion'!$B$7/1000000)</f>
        <v>50.78551884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4.25" customHeight="1">
      <c r="A24" s="3"/>
      <c r="B24" s="3"/>
      <c r="C24" s="3"/>
      <c r="D24" s="31" t="s">
        <v>155</v>
      </c>
      <c r="E24" s="32">
        <f>B21/B2</f>
        <v>0.008391566583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4.25" customHeight="1">
      <c r="A25" s="3"/>
      <c r="B25" s="3"/>
      <c r="C25" s="3"/>
      <c r="D25" s="31" t="s">
        <v>156</v>
      </c>
      <c r="E25" s="32">
        <f>B21/B6</f>
        <v>0.09118859404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4.2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4.2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4.2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4.2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4.2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4.2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4.2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4.2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4.2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4.2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4.2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4.2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4.2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4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4.2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4.2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4.2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.2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4.2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4.2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4.2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4.2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4.2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4.2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4.2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4.2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.2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4.2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4.2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4.2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4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4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4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4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4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4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4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4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4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4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4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4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4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4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4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4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4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4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4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4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4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4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4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4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4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4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4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4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4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4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4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4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4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4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4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4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4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4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4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4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4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4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4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4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4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4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4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4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4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4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4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4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4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4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4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4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4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4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4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4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4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4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4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4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4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4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4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4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4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4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4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4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4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4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4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4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4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4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4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4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4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4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4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4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4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4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4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4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4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4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4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4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4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4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4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4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4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4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4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4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4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4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4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4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4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4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4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4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4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4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4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4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4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4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4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4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4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4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4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4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4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4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4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4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4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4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4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4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4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4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4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4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4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4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4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4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4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4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4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4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4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4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4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4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4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4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4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4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4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4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4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4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4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4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4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4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4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4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4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4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4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4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4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4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4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4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4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4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4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4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4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4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4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4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4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4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4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4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4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4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4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4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4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4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4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4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4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4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4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4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4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4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4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4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4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4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4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4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4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4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4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4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4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4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4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4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4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4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4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4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4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4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4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4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4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4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4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4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4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4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4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4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4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4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4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4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4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4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4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4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4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4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4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4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4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4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4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4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4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4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4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4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4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4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4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4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4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4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4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4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4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4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4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4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4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4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4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4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4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4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4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4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4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4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4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4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4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4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4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4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4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4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4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4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4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4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4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4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4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4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4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4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4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4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4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4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4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4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4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4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4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4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4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4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4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4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4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4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4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4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4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4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4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4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4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4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4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4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4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4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4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4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4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4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4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4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4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4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4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4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4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4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4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4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4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4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4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4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4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4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4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4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4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4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4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4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4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4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4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4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4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4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4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4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4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4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4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4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4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4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4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4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4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4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4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4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4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4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4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4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4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4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4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4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4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4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4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4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4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4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4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4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4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4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4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4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4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4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4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4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4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4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4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4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4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4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4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4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4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4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4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4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4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4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4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4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4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4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4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4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4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4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4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4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4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4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4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4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4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4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4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4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4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4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4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4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4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4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4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4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4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4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4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4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4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4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4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4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4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4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4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4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4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4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4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4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4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4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4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4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4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4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4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4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4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4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4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4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4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4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4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4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4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4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4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4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4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4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4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4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4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4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4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4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4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4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4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4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4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4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4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4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4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4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4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4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4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4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4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4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4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4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4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4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4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4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4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4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4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4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4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4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4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4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4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4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4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4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4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4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4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4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4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4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4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4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4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4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4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4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4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4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4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4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4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4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4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4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4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4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4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4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4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4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4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4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4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4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4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4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4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4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4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4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4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4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4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4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4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4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4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4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4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4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4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4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4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4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4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4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4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4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4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4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4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4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4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4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4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4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4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4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4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4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4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4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4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4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4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4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4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4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4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4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4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4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4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4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4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4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4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4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4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4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4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4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4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4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4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4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4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4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4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4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4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4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4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4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4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4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4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4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4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4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4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4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4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4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4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4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4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4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4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4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4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4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4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4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4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4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4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4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4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4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4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4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4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4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4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4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4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4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4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4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4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4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4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4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4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4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4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4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4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4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4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4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4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4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4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4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4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4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4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4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4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4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4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4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4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4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4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4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4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4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4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4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4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4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4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4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4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4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4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4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4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4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4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4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4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4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4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4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4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4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4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4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4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4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4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4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4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4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4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4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4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4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4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4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4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4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4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4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4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4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4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4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4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4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4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4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4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4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4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4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4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4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4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4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4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4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4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4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4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4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4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4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4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4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4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4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4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4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4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4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4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4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4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4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4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4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4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4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4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4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4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4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4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4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4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4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4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4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4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4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4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4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4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4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4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4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4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4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4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4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4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4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4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4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4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4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4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4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4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4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4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4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4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4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4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4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4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4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4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4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4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4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4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4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4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4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4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4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4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4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4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4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4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4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4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4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4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4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4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4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4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4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4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4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4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4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4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4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4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4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4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4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4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4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4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4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4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4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4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4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4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4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4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4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4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4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4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4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4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4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4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4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4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4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4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4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4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4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4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4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4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4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4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4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4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4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4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4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4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4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4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4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4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4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4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4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4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4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4.2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4.2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3">
    <mergeCell ref="A1:L1"/>
    <mergeCell ref="A15:B15"/>
    <mergeCell ref="D15:E15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35.38"/>
    <col customWidth="1" min="6" max="6" width="16.75"/>
    <col customWidth="1" min="7" max="7" width="22.88"/>
    <col customWidth="1" min="8" max="8" width="17.0"/>
    <col customWidth="1" min="9" max="9" width="15.0"/>
    <col customWidth="1" min="10" max="10" width="15.5"/>
  </cols>
  <sheetData>
    <row r="2">
      <c r="F2" s="33"/>
      <c r="G2" s="33"/>
      <c r="H2" s="33"/>
      <c r="I2" s="33"/>
      <c r="J2" s="33"/>
    </row>
    <row r="3">
      <c r="B3" s="11" t="s">
        <v>157</v>
      </c>
      <c r="C3" s="11">
        <v>4340.0</v>
      </c>
      <c r="D3" s="11" t="s">
        <v>158</v>
      </c>
      <c r="F3" s="34"/>
      <c r="G3" s="34" t="s">
        <v>159</v>
      </c>
      <c r="H3" s="34"/>
      <c r="I3" s="34"/>
      <c r="J3" s="34"/>
    </row>
    <row r="4">
      <c r="B4" s="11" t="s">
        <v>160</v>
      </c>
      <c r="C4" s="9">
        <f>C3/10</f>
        <v>434</v>
      </c>
      <c r="D4" s="11" t="s">
        <v>161</v>
      </c>
      <c r="F4" s="34"/>
      <c r="G4" s="34"/>
      <c r="H4" s="34"/>
      <c r="I4" s="34"/>
      <c r="J4" s="34"/>
    </row>
    <row r="5">
      <c r="B5" s="11" t="s">
        <v>162</v>
      </c>
      <c r="C5" s="20">
        <f>'Detalle de Lineas'!B3</f>
        <v>58300</v>
      </c>
      <c r="D5" s="11" t="s">
        <v>163</v>
      </c>
      <c r="F5" s="34"/>
      <c r="G5" s="34"/>
      <c r="H5" s="34"/>
      <c r="I5" s="34"/>
      <c r="J5" s="34"/>
    </row>
    <row r="6">
      <c r="B6" s="11" t="s">
        <v>164</v>
      </c>
      <c r="C6" s="11">
        <v>80000.0</v>
      </c>
      <c r="D6" s="11" t="s">
        <v>163</v>
      </c>
      <c r="F6" s="34"/>
      <c r="G6" s="34"/>
      <c r="H6" s="34"/>
      <c r="I6" s="34"/>
      <c r="J6" s="34"/>
    </row>
    <row r="7">
      <c r="B7" s="11" t="s">
        <v>165</v>
      </c>
      <c r="C7" s="9">
        <f>(('Detalle de Lineas'!C10*'Detalle de Lineas'!E10)+('Detalle de Lineas'!C11*'Detalle de Lineas'!E11)+('Detalle de Lineas'!C12*'Detalle de Lineas'!E12))/'Detalle de Lineas'!D3</f>
        <v>8220</v>
      </c>
      <c r="D7" s="11" t="s">
        <v>11</v>
      </c>
      <c r="F7" s="34"/>
      <c r="G7" s="34"/>
      <c r="H7" s="34"/>
      <c r="I7" s="34"/>
      <c r="J7" s="34"/>
    </row>
    <row r="8">
      <c r="B8" s="11" t="s">
        <v>166</v>
      </c>
      <c r="C8" s="20">
        <f>C6-C5</f>
        <v>21700</v>
      </c>
      <c r="D8" s="35" t="s">
        <v>163</v>
      </c>
      <c r="F8" s="34"/>
      <c r="G8" s="34"/>
      <c r="H8" s="34"/>
      <c r="I8" s="34"/>
      <c r="J8" s="34"/>
    </row>
    <row r="9">
      <c r="B9" s="11" t="s">
        <v>167</v>
      </c>
      <c r="C9" s="36">
        <f>C8/C5</f>
        <v>0.372212693</v>
      </c>
      <c r="F9" s="34"/>
      <c r="G9" s="34"/>
      <c r="H9" s="34"/>
      <c r="I9" s="34"/>
      <c r="J9" s="34"/>
    </row>
    <row r="10">
      <c r="B10" s="11" t="s">
        <v>168</v>
      </c>
      <c r="C10" s="9">
        <f>C8*'base de produccion'!B4</f>
        <v>6770400</v>
      </c>
      <c r="D10" s="35" t="s">
        <v>169</v>
      </c>
      <c r="F10" s="34"/>
      <c r="G10" s="34"/>
      <c r="H10" s="34"/>
      <c r="I10" s="34"/>
      <c r="J10" s="34"/>
    </row>
    <row r="11">
      <c r="B11" s="11" t="s">
        <v>170</v>
      </c>
      <c r="C11" s="37">
        <f>C10*0.972</f>
        <v>6580828.8</v>
      </c>
      <c r="D11" s="35" t="s">
        <v>169</v>
      </c>
      <c r="F11" s="34"/>
      <c r="G11" s="34"/>
      <c r="H11" s="34"/>
      <c r="I11" s="34"/>
      <c r="J11" s="34"/>
    </row>
    <row r="12">
      <c r="B12" s="11" t="s">
        <v>171</v>
      </c>
      <c r="C12" s="38">
        <f>C7*C11/1000000</f>
        <v>54094.41274</v>
      </c>
      <c r="D12" s="11" t="s">
        <v>172</v>
      </c>
      <c r="F12" s="34"/>
      <c r="G12" s="34"/>
      <c r="H12" s="34"/>
      <c r="I12" s="34"/>
      <c r="J12" s="34"/>
    </row>
    <row r="13">
      <c r="B13" s="11" t="s">
        <v>173</v>
      </c>
      <c r="C13" s="38">
        <f>C38-C4</f>
        <v>3733.317712</v>
      </c>
      <c r="D13" s="11" t="s">
        <v>158</v>
      </c>
    </row>
    <row r="14">
      <c r="B14" s="11" t="s">
        <v>174</v>
      </c>
      <c r="C14" s="38">
        <f>C13*0.35</f>
        <v>1306.661199</v>
      </c>
      <c r="D14" s="11" t="s">
        <v>158</v>
      </c>
    </row>
    <row r="15">
      <c r="B15" s="11" t="s">
        <v>175</v>
      </c>
      <c r="C15" s="38">
        <f>C13-C14</f>
        <v>2426.656513</v>
      </c>
      <c r="D15" s="11" t="s">
        <v>158</v>
      </c>
    </row>
    <row r="16">
      <c r="B16" s="11" t="s">
        <v>176</v>
      </c>
      <c r="C16" s="38">
        <f>C15+C4</f>
        <v>2860.656513</v>
      </c>
      <c r="D16" s="11" t="s">
        <v>158</v>
      </c>
    </row>
    <row r="19">
      <c r="B19" s="11" t="s">
        <v>177</v>
      </c>
    </row>
    <row r="20">
      <c r="B20" s="33" t="s">
        <v>1</v>
      </c>
      <c r="C20" s="33" t="s">
        <v>178</v>
      </c>
    </row>
    <row r="21">
      <c r="B21" s="34" t="s">
        <v>179</v>
      </c>
      <c r="C21" s="39">
        <f>C11*'base de produccion'!B6/1000000</f>
        <v>15793.98912</v>
      </c>
    </row>
    <row r="22">
      <c r="B22" s="34" t="s">
        <v>180</v>
      </c>
      <c r="C22" s="39">
        <v>8558.0</v>
      </c>
    </row>
    <row r="23">
      <c r="B23" s="34" t="s">
        <v>20</v>
      </c>
      <c r="C23" s="39">
        <v>12124.0</v>
      </c>
    </row>
    <row r="24">
      <c r="B24" s="34" t="s">
        <v>181</v>
      </c>
      <c r="C24" s="39">
        <v>3566.0</v>
      </c>
    </row>
    <row r="25">
      <c r="B25" s="34" t="s">
        <v>182</v>
      </c>
      <c r="C25" s="39">
        <v>5706.0</v>
      </c>
    </row>
    <row r="26">
      <c r="B26" s="34" t="s">
        <v>183</v>
      </c>
      <c r="C26" s="39">
        <v>2140.0</v>
      </c>
    </row>
    <row r="27">
      <c r="B27" s="34" t="s">
        <v>184</v>
      </c>
      <c r="C27" s="39">
        <f>SUM(C21:C26)</f>
        <v>47887.98912</v>
      </c>
    </row>
    <row r="28">
      <c r="B28" s="11" t="s">
        <v>185</v>
      </c>
      <c r="C28" s="38">
        <f>(C12)-C27</f>
        <v>6206.423616</v>
      </c>
      <c r="D28" s="9">
        <f>C28/(C12)</f>
        <v>0.114733173</v>
      </c>
    </row>
    <row r="31">
      <c r="B31" s="33" t="s">
        <v>1</v>
      </c>
      <c r="C31" s="33" t="s">
        <v>2</v>
      </c>
    </row>
    <row r="32">
      <c r="B32" s="34" t="s">
        <v>186</v>
      </c>
      <c r="C32" s="34">
        <v>180.0</v>
      </c>
    </row>
    <row r="33">
      <c r="B33" s="34" t="s">
        <v>187</v>
      </c>
      <c r="C33" s="34">
        <v>100.0</v>
      </c>
    </row>
    <row r="34">
      <c r="B34" s="34" t="s">
        <v>188</v>
      </c>
      <c r="C34" s="34">
        <v>220.0</v>
      </c>
    </row>
    <row r="35">
      <c r="B35" s="34" t="s">
        <v>189</v>
      </c>
      <c r="C35" s="34">
        <v>80.0</v>
      </c>
    </row>
    <row r="36">
      <c r="B36" s="34" t="s">
        <v>190</v>
      </c>
      <c r="C36" s="34">
        <v>70.0</v>
      </c>
    </row>
    <row r="37">
      <c r="B37" s="34" t="s">
        <v>191</v>
      </c>
      <c r="C37" s="34">
        <v>650.0</v>
      </c>
    </row>
    <row r="38">
      <c r="B38" s="11" t="s">
        <v>192</v>
      </c>
      <c r="C38" s="38">
        <f>(C28-C37)*0.75</f>
        <v>4167.317712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2026-10-10T01:24:40Z</dcterms:created>
  <dc:creator>Daniel Felipe  Castro Galindo</dc:creator>
</cp:coreProperties>
</file>